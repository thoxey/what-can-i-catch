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ish" sheetId="2" r:id="rId6"/>
    <sheet state="visible" name="Bugs" sheetId="3" r:id="rId7"/>
    <sheet state="hidden" name="Version" sheetId="4" r:id="rId8"/>
    <sheet state="visible" name="Sea Creature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tc={0098f942-305a-4929-86df-1f3825f784af}</author>
    <author>tc={1c23a3c3-94bc-4c2f-a6a9-78449c398e63}</author>
    <author>tc={1e018a38-d0c3-471c-a6f2-6fb6d3d38a7c}</author>
    <author>tc={2c0f70b8-71de-4363-bfc3-8e87f0069b54}</author>
    <author>tc={2c9ff6d3-f29b-447f-9cc4-dbefe0f81168}</author>
    <author>tc={2ce78964-689f-494d-af36-dd2bc03ea341}</author>
    <author>tc={2f0ce480-ca54-4d13-953d-ad4db76add6b}</author>
    <author>tc={3336c822-4dc8-40b4-a808-bb9ecd0ae070}</author>
    <author>tc={36711a56-720a-4a55-bbf0-bf5c9860109d}</author>
    <author>tc={3f701215-22d7-4606-a608-2cddeb2092e5}</author>
    <author>tc={418e54fa-0815-40ec-9da2-131a15e0a525}</author>
    <author>tc={4e0196d1-96a2-466c-9da3-341869063765}</author>
    <author>tc={5534fb48-20dc-432e-857b-5b6c50346b9a}</author>
    <author>tc={55c95f1b-9026-421e-8a5c-78db6cffaa64}</author>
    <author>tc={5a1d52e1-a3cf-473c-91c9-6f6544a2ba95}</author>
    <author>tc={5e1bcdc1-2a30-4a73-abc6-fb4fea1753ce}</author>
    <author>tc={6e75711f-1a1c-43d8-88ac-f024154f68b2}</author>
    <author>tc={826bc6dc-dbcd-42bc-a0d1-ba734374ad8d}</author>
    <author>tc={85b03e41-624c-43a8-b7ad-1c1fb686c6a2}</author>
    <author>tc={87510e5c-40d6-4102-a561-108344dbf9e5}</author>
    <author>tc={964e23eb-7149-48b2-94bf-3276b766e892}</author>
    <author>tc={99a4d70c-a03d-45c7-9b9d-d3e5f1f63770}</author>
    <author>tc={9e59c3f9-09a4-46e7-a40e-ac218f7f3ba5}</author>
    <author>tc={a90e307a-134a-4b20-b959-d0a2d4b0223b}</author>
    <author>tc={af4d84c5-df1f-49a6-be36-1743dc88c924}</author>
    <author>tc={b026d6f6-d3d3-4d44-ae5b-e510a5203d08}</author>
    <author>tc={b9377162-a288-49d8-b11e-54f855177113}</author>
    <author>tc={ba833aa6-bf03-4aa5-9e4c-15bc835a4e3a}</author>
    <author>tc={bde741ad-63c8-4e19-ad3a-6f197fbdcfe8}</author>
    <author>tc={c4519372-6484-48e5-a983-66af2dbb8602}</author>
    <author>tc={ca67cd5b-35c8-4195-b505-340a33da3e7c}</author>
    <author>tc={cc9d9b48-b3cb-45a4-9a82-c43842cafe3c}</author>
    <author>tc={d4300897-899b-4d8c-959f-3ba6eb6f602f}</author>
    <author>tc={d491f808-8c04-485c-a06c-2ce7c05cce74}</author>
    <author>tc={d4e8f1bf-fd86-4433-b187-66947a483573}</author>
    <author>tc={d57bd147-e7c3-4fcf-b64f-2d1579e206b1}</author>
    <author>tc={d7eb3808-61a5-4c98-945b-71f993af5631}</author>
    <author>tc={e3b245ab-deeb-48a7-8215-ae9c93d54d00}</author>
    <author>tc={e6063d98-4864-46ba-a65c-7fa57e6061cb}</author>
    <author>tc={ecd722b1-0f90-4b6a-9683-5e75731ba7f9}</author>
    <author>tc={f0f1f549-3798-42d1-91bf-dda21d765039}</author>
    <author>tc={f23caee8-58ba-4615-90c4-2fbcb762646c}</author>
    <author>tc={f6b6065e-cc1e-4f1e-a62b-d43942fc25ba}</author>
    <author>tc={f6f743c3-937b-4b92-b1c0-7ab74dbd01ef}</author>
    <author>tc={fc4bee5a-5954-43cf-9359-35b51b817ae2}</author>
  </authors>
  <commentList>
    <comment authorId="0" xr:uid="{0098f942-305a-4929-86df-1f3825f784af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" xr:uid="{1c23a3c3-94bc-4c2f-a6a9-78449c398e63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" xr:uid="{1e018a38-d0c3-471c-a6f2-6fb6d3d38a7c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" xr:uid="{2c0f70b8-71de-4363-bfc3-8e87f0069b54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4" xr:uid="{2c9ff6d3-f29b-447f-9cc4-dbefe0f81168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5" xr:uid="{2ce78964-689f-494d-af36-dd2bc03ea341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6" xr:uid="{2f0ce480-ca54-4d13-953d-ad4db76add6b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7" xr:uid="{3336c822-4dc8-40b4-a808-bb9ecd0ae070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8" xr:uid="{36711a56-720a-4a55-bbf0-bf5c9860109d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9" xr:uid="{3f701215-22d7-4606-a608-2cddeb2092e5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0" xr:uid="{418e54fa-0815-40ec-9da2-131a15e0a525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1" xr:uid="{4e0196d1-96a2-466c-9da3-341869063765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2" xr:uid="{5534fb48-20dc-432e-857b-5b6c50346b9a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3" xr:uid="{55c95f1b-9026-421e-8a5c-78db6cffaa64}" ref="A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4" xr:uid="{5a1d52e1-a3cf-473c-91c9-6f6544a2ba95}" ref="L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5" xr:uid="{5e1bcdc1-2a30-4a73-abc6-fb4fea1753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formula for handling November is Wrong i think. Because MOD(11+1, 12) gives 0. I suggest using IF(month + 1 &lt;= 12, month + 1, 1)
Reply:
	Thanks for catching that! I replaced MOD(month+1, 12) with MOD(month, 12)+1
</t>
      </text>
    </comment>
    <comment authorId="16" xr:uid="{6e75711f-1a1c-43d8-88ac-f024154f68b2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7" xr:uid="{826bc6dc-dbcd-42bc-a0d1-ba734374ad8d}" ref="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18" xr:uid="{85b03e41-624c-43a8-b7ad-1c1fb686c6a2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19" xr:uid="{87510e5c-40d6-4102-a561-108344dbf9e5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0" xr:uid="{964e23eb-7149-48b2-94bf-3276b766e892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1" xr:uid="{99a4d70c-a03d-45c7-9b9d-d3e5f1f63770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2" xr:uid="{9e59c3f9-09a4-46e7-a40e-ac218f7f3ba5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3" xr:uid="{a90e307a-134a-4b20-b959-d0a2d4b0223b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4" xr:uid="{af4d84c5-df1f-49a6-be36-1743dc88c924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5" xr:uid="{b026d6f6-d3d3-4d44-ae5b-e510a5203d08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6" xr:uid="{b9377162-a288-49d8-b11e-54f855177113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7" xr:uid="{ba833aa6-bf03-4aa5-9e4c-15bc835a4e3a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28" xr:uid="{bde741ad-63c8-4e19-ad3a-6f197fbdcfe8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9" xr:uid="{c4519372-6484-48e5-a983-66af2dbb8602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0" xr:uid="{ca67cd5b-35c8-4195-b505-340a33da3e7c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1" xr:uid="{cc9d9b48-b3cb-45a4-9a82-c43842cafe3c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2" xr:uid="{d4300897-899b-4d8c-959f-3ba6eb6f602f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3" xr:uid="{d491f808-8c04-485c-a06c-2ce7c05cce74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
</t>
      </text>
    </comment>
    <comment authorId="34" xr:uid="{d4e8f1bf-fd86-4433-b187-66947a483573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5" xr:uid="{d57bd147-e7c3-4fcf-b64f-2d1579e206b1}" ref="G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6" xr:uid="{d7eb3808-61a5-4c98-945b-71f993af5631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7" xr:uid="{e3b245ab-deeb-48a7-8215-ae9c93d54d00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8" xr:uid="{e6063d98-4864-46ba-a65c-7fa57e6061cb}" ref="L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39" xr:uid="{ecd722b1-0f90-4b6a-9683-5e75731ba7f9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40" xr:uid="{f0f1f549-3798-42d1-91bf-dda21d765039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
</t>
      </text>
    </comment>
    <comment authorId="41" xr:uid="{f23caee8-58ba-4615-90c4-2fbcb762646c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42" xr:uid="{f6b6065e-cc1e-4f1e-a62b-d43942fc25ba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43" xr:uid="{f6f743c3-937b-4b92-b1c0-7ab74dbd01ef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44" xr:uid="{fc4bee5a-5954-43cf-9359-35b51b817ae2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tc={45894efe-b565-4686-b0c6-4016c1b2e8ab}</author>
  </authors>
  <commentList>
    <comment authorId="0" xr:uid="{45894efe-b565-4686-b0c6-4016c1b2e8ab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TRUE
</t>
      </text>
    </comment>
  </commentList>
</comments>
</file>

<file path=xl/sharedStrings.xml><?xml version="1.0" encoding="utf-8"?>
<sst xmlns="http://schemas.openxmlformats.org/spreadsheetml/2006/main" count="29" uniqueCount="22">
  <si>
    <t>Month:</t>
  </si>
  <si>
    <t>March</t>
  </si>
  <si>
    <t>Hemisphere:</t>
  </si>
  <si>
    <t>Northern</t>
  </si>
  <si>
    <t>Sort by:</t>
  </si>
  <si>
    <t>Last chance</t>
  </si>
  <si>
    <t>Ascending</t>
  </si>
  <si>
    <t>To specify which critters you've already caught,
check the boxes in the first column on the Fish page or the Bugs page.</t>
  </si>
  <si>
    <t>Hide critters I've caught:</t>
  </si>
  <si>
    <t>Fish (★ = Last chance!)</t>
  </si>
  <si>
    <t>Bugs (★ = Last chance!)</t>
  </si>
  <si>
    <t>Sea Creatures (★ = Last chance!)</t>
  </si>
  <si>
    <t>Name</t>
  </si>
  <si>
    <t>Price</t>
  </si>
  <si>
    <t>Time</t>
  </si>
  <si>
    <t>Location</t>
  </si>
  <si>
    <t>Size</t>
  </si>
  <si>
    <t>Version #</t>
  </si>
  <si>
    <t>Changes:</t>
  </si>
  <si>
    <t>Fixed a bug which caused last chance critters to not display correctly for November</t>
  </si>
  <si>
    <t>Added sorting functionality and visually upgraded the overview page</t>
  </si>
  <si>
    <t>Added sea creatures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</si>
</sst>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u/>
      <color rgb="FF1155CC"/>
      <name val="Arial"/>
    </font>
    <font>
      <b/>
      <color rgb="FFFF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7BC5E0"/>
        <bgColor rgb="FF7BC5E0"/>
      </patternFill>
    </fill>
    <fill>
      <patternFill patternType="solid">
        <fgColor rgb="FF88C9A1"/>
        <bgColor rgb="FF88C9A1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readingOrder="0"/>
    </xf>
    <xf borderId="2" fillId="0" fontId="3" numFmtId="0" xfId="0" applyBorder="1" applyFont="1"/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Font="1"/>
    <xf borderId="0" fillId="0" fontId="2" numFmtId="0" xfId="0" applyFont="1"/>
    <xf borderId="0" fillId="0" fontId="1" numFmtId="0" xfId="0" applyFont="1"/>
    <xf borderId="3" fillId="2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1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horizontal="center" readingOrder="0"/>
    </xf>
    <xf borderId="4" fillId="3" fontId="3" numFmtId="0" xfId="0" applyBorder="1" applyFont="1"/>
    <xf borderId="2" fillId="3" fontId="3" numFmtId="0" xfId="0" applyBorder="1" applyFont="1"/>
    <xf borderId="1" fillId="4" fontId="1" numFmtId="0" xfId="0" applyAlignment="1" applyBorder="1" applyFill="1" applyFont="1">
      <alignment horizontal="center" readingOrder="0"/>
    </xf>
    <xf borderId="4" fillId="4" fontId="3" numFmtId="0" xfId="0" applyBorder="1" applyFont="1"/>
    <xf borderId="2" fillId="4" fontId="3" numFmtId="0" xfId="0" applyBorder="1" applyFont="1"/>
    <xf borderId="1" fillId="5" fontId="7" numFmtId="0" xfId="0" applyAlignment="1" applyBorder="1" applyFill="1" applyFont="1">
      <alignment horizontal="center" vertical="bottom"/>
    </xf>
    <xf borderId="4" fillId="0" fontId="3" numFmtId="0" xfId="0" applyBorder="1" applyFont="1"/>
    <xf borderId="3" fillId="0" fontId="6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5" fillId="5" fontId="1" numFmtId="0" xfId="0" applyAlignment="1" applyBorder="1" applyFont="1">
      <alignment vertical="bottom"/>
    </xf>
    <xf borderId="6" fillId="0" fontId="8" numFmtId="0" xfId="0" applyAlignment="1" applyBorder="1" applyFont="1">
      <alignment readingOrder="0"/>
    </xf>
    <xf borderId="7" fillId="6" fontId="2" numFmtId="0" xfId="0" applyAlignment="1" applyBorder="1" applyFill="1" applyFont="1">
      <alignment vertical="bottom"/>
    </xf>
    <xf borderId="5" fillId="6" fontId="2" numFmtId="0" xfId="0" applyAlignment="1" applyBorder="1" applyFont="1">
      <alignment horizontal="right" vertical="bottom"/>
    </xf>
    <xf borderId="8" fillId="6" fontId="2" numFmtId="0" xfId="0" applyAlignment="1" applyBorder="1" applyFont="1">
      <alignment vertical="bottom"/>
    </xf>
    <xf borderId="9" fillId="7" fontId="2" numFmtId="0" xfId="0" applyAlignment="1" applyBorder="1" applyFill="1" applyFont="1">
      <alignment vertical="bottom"/>
    </xf>
    <xf borderId="6" fillId="7" fontId="2" numFmtId="0" xfId="0" applyAlignment="1" applyBorder="1" applyFont="1">
      <alignment horizontal="right" vertical="bottom"/>
    </xf>
    <xf borderId="10" fillId="7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6" fillId="6" fontId="2" numFmtId="0" xfId="0" applyAlignment="1" applyBorder="1" applyFont="1">
      <alignment horizontal="right" vertical="bottom"/>
    </xf>
    <xf borderId="10" fillId="6" fontId="2" numFmtId="0" xfId="0" applyAlignment="1" applyBorder="1" applyFont="1">
      <alignment vertical="bottom"/>
    </xf>
    <xf borderId="10" fillId="7" fontId="2" numFmtId="0" xfId="0" applyAlignment="1" applyBorder="1" applyFont="1">
      <alignment shrinkToFit="0" vertical="bottom" wrapText="0"/>
    </xf>
    <xf borderId="6" fillId="0" fontId="8" numFmtId="0" xfId="0" applyBorder="1" applyFont="1"/>
    <xf borderId="6" fillId="6" fontId="2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11" fillId="0" fontId="8" numFmtId="0" xfId="0" applyBorder="1" applyFont="1"/>
    <xf borderId="12" fillId="6" fontId="2" numFmtId="0" xfId="0" applyAlignment="1" applyBorder="1" applyFont="1">
      <alignment vertical="bottom"/>
    </xf>
    <xf borderId="11" fillId="6" fontId="2" numFmtId="0" xfId="0" applyAlignment="1" applyBorder="1" applyFont="1">
      <alignment vertical="bottom"/>
    </xf>
    <xf borderId="13" fillId="6" fontId="2" numFmtId="0" xfId="0" applyAlignment="1" applyBorder="1" applyFont="1">
      <alignment vertical="bottom"/>
    </xf>
    <xf borderId="0" fillId="0" fontId="8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8" numFmtId="3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BC5E0"/>
          <bgColor rgb="FF7BC5E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8F1"/>
          <bgColor rgb="FFCFE8F1"/>
        </patternFill>
      </fill>
      <border/>
    </dxf>
    <dxf>
      <font/>
      <fill>
        <patternFill patternType="solid">
          <fgColor rgb="FF88C9A1"/>
          <bgColor rgb="FF88C9A1"/>
        </patternFill>
      </fill>
      <border/>
    </dxf>
    <dxf>
      <font/>
      <fill>
        <patternFill patternType="solid">
          <fgColor rgb="FFD8F1E2"/>
          <bgColor rgb="FFD8F1E2"/>
        </patternFill>
      </fill>
      <border/>
    </dxf>
  </dxfs>
  <tableStyles count="2">
    <tableStyle count="3" pivot="0" name="Overview-style">
      <tableStyleElement dxfId="1" type="headerRow"/>
      <tableStyleElement dxfId="2" type="firstRowStripe"/>
      <tableStyleElement dxfId="3" type="secondRowStripe"/>
    </tableStyle>
    <tableStyle count="3" pivot="0" name="Overview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setta" id="{7278a4a4-4fba-42cd-a870-a796a8552414}" providerId="google-sheets"/>
  <x18tc:person displayName="lastglitch" id="{94a078ec-9a42-4fca-9201-c96dbbcc143e}" providerId="google-sheets"/>
  <x18tc:person displayName="Ridwan Arvihafiz" id="{f572bfbb-8b31-47bb-8aca-b011bea6e226}" providerId="google-sheets"/>
  <x18tc:person displayName="alzortheman" id="{6317fb45-6b03-48e6-ae1e-b59f70210ba1}" providerId="google-sheets"/>
  <x18tc:person displayName="Joanna Cheneler" id="{e1cf3781-9a7a-41a7-a5b1-b26ba7a57c98}" providerId="google-sheets"/>
</x18tc:personList>
</file>

<file path=xl/tables/table1.xml><?xml version="1.0" encoding="utf-8"?>
<table xmlns="http://schemas.openxmlformats.org/spreadsheetml/2006/main" ref="B8:F71" displayName="Table_1" name="Table_1" id="1">
  <tableColumns count="5">
    <tableColumn name="Name" id="1"/>
    <tableColumn name="Price" id="2"/>
    <tableColumn name="Time" id="3"/>
    <tableColumn name="Location" id="4"/>
    <tableColumn name="Size" id="5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H8:K71" displayName="Table_2" name="Table_2" id="2">
  <tableColumns count="4">
    <tableColumn name="Name" id="1"/>
    <tableColumn name="Price" id="2"/>
    <tableColumn name="Time" id="3"/>
    <tableColumn name="Location" id="4"/>
  </tableColumns>
  <tableStyleInfo name="Overvie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0" dT="2026-01-17T22:35:50.00" personId="{6317fb45-6b03-48e6-ae1e-b59f70210ba1}" id="{3f701215-22d7-4606-a608-2cddeb2092e5}" done="0">
    <x18tc:text xml:space="preserve">X</x18tc:text>
  </x18tc:threadedComment>
  <x18tc:threadedComment ref="A9" dT="2026-01-17T22:34:44.00" personId="{6317fb45-6b03-48e6-ae1e-b59f70210ba1}" id="{bde741ad-63c8-4e19-ad3a-6f197fbdcfe8}" done="1">
    <x18tc:text xml:space="preserve">X</x18tc:text>
  </x18tc:threadedComment>
  <x18tc:threadedComment ref="L23" dT="2026-01-17T22:33:42.00" personId="{6317fb45-6b03-48e6-ae1e-b59f70210ba1}" id="{cc9d9b48-b3cb-45a4-9a82-c43842cafe3c}" done="0">
    <x18tc:text xml:space="preserve">X</x18tc:text>
  </x18tc:threadedComment>
  <x18tc:threadedComment ref="A18" dT="2026-01-17T22:35:45.00" personId="{6317fb45-6b03-48e6-ae1e-b59f70210ba1}" id="{b026d6f6-d3d3-4d44-ae5b-e510a5203d08}" done="0">
    <x18tc:text xml:space="preserve">X</x18tc:text>
  </x18tc:threadedComment>
  <x18tc:threadedComment ref="L22" dT="2026-01-17T22:33:37.00" personId="{6317fb45-6b03-48e6-ae1e-b59f70210ba1}" id="{c4519372-6484-48e5-a983-66af2dbb8602}" done="0">
    <x18tc:text xml:space="preserve">X</x18tc:text>
  </x18tc:threadedComment>
  <x18tc:threadedComment ref="A15" dT="2026-01-17T22:35:14.00" personId="{6317fb45-6b03-48e6-ae1e-b59f70210ba1}" id="{ca67cd5b-35c8-4195-b505-340a33da3e7c}" done="0">
    <x18tc:text xml:space="preserve">X</x18tc:text>
  </x18tc:threadedComment>
  <x18tc:threadedComment ref="L27" dT="2026-01-17T22:33:51.00" personId="{6317fb45-6b03-48e6-ae1e-b59f70210ba1}" id="{e6063d98-4864-46ba-a65c-7fa57e6061cb}" done="0">
    <x18tc:text xml:space="preserve">X</x18tc:text>
  </x18tc:threadedComment>
  <x18tc:threadedComment ref="L21" dT="2026-01-17T22:33:32.00" personId="{6317fb45-6b03-48e6-ae1e-b59f70210ba1}" id="{99a4d70c-a03d-45c7-9b9d-d3e5f1f63770}" done="0">
    <x18tc:text xml:space="preserve">X</x18tc:text>
  </x18tc:threadedComment>
  <x18tc:threadedComment ref="A1" dT="2020-04-11T21:00:43.00" personId="{f572bfbb-8b31-47bb-8aca-b011bea6e226}" id="{5e1bcdc1-2a30-4a73-abc6-fb4fea1753ce}" done="1">
    <x18tc:text xml:space="preserve">The formula for handling November is Wrong i think. Because MOD(11+1, 12) gives 0. I suggest using IF(month + 1 &lt;= 12, month + 1, 1)</x18tc:text>
  </x18tc:threadedComment>
  <x18tc:threadedComment ref="A1" dT="2020-04-19T01:00:39.00" personId="{7278a4a4-4fba-42cd-a870-a796a8552414}" id="{4a9a27d7-0bed-42c9-b642-bcc33fc6ac76}" parentId="{5e1bcdc1-2a30-4a73-abc6-fb4fea1753ce}">
    <x18tc:text xml:space="preserve">Thanks for catching that! I replaced MOD(month+1, 12) with MOD(month, 12)+1</x18tc:text>
  </x18tc:threadedComment>
  <x18tc:threadedComment ref="G34" dT="2026-01-17T22:39:33.00" personId="{6317fb45-6b03-48e6-ae1e-b59f70210ba1}" id="{d57bd147-e7c3-4fcf-b64f-2d1579e206b1}" done="0">
    <x18tc:text xml:space="preserve">X</x18tc:text>
  </x18tc:threadedComment>
  <x18tc:threadedComment ref="A14" dT="2026-01-17T22:35:08.00" personId="{6317fb45-6b03-48e6-ae1e-b59f70210ba1}" id="{f23caee8-58ba-4615-90c4-2fbcb762646c}" done="0">
    <x18tc:text xml:space="preserve">X</x18tc:text>
  </x18tc:threadedComment>
  <x18tc:threadedComment ref="L20" dT="2026-01-17T22:33:25.00" personId="{6317fb45-6b03-48e6-ae1e-b59f70210ba1}" id="{5534fb48-20dc-432e-857b-5b6c50346b9a}" done="0">
    <x18tc:text xml:space="preserve">X</x18tc:text>
  </x18tc:threadedComment>
  <x18tc:threadedComment ref="G33" dT="2026-01-17T22:39:17.00" personId="{6317fb45-6b03-48e6-ae1e-b59f70210ba1}" id="{2f0ce480-ca54-4d13-953d-ad4db76add6b}" done="0">
    <x18tc:text xml:space="preserve">X</x18tc:text>
  </x18tc:threadedComment>
  <x18tc:threadedComment ref="A13" dT="2026-01-17T22:35:03.00" personId="{6317fb45-6b03-48e6-ae1e-b59f70210ba1}" id="{f0f1f549-3798-42d1-91bf-dda21d765039}" done="0">
    <x18tc:text xml:space="preserve">C</x18tc:text>
  </x18tc:threadedComment>
  <x18tc:threadedComment ref="L19" dT="2026-01-17T22:33:20.00" personId="{6317fb45-6b03-48e6-ae1e-b59f70210ba1}" id="{36711a56-720a-4a55-bbf0-bf5c9860109d}" done="0">
    <x18tc:text xml:space="preserve">X</x18tc:text>
  </x18tc:threadedComment>
  <x18tc:threadedComment ref="G22" dT="2026-01-17T22:38:58.00" personId="{6317fb45-6b03-48e6-ae1e-b59f70210ba1}" id="{e3b245ab-deeb-48a7-8215-ae9c93d54d00}" done="0">
    <x18tc:text xml:space="preserve">X</x18tc:text>
  </x18tc:threadedComment>
  <x18tc:threadedComment ref="A11" dT="2026-01-17T22:34:56.00" personId="{6317fb45-6b03-48e6-ae1e-b59f70210ba1}" id="{87510e5c-40d6-4102-a561-108344dbf9e5}" done="0">
    <x18tc:text xml:space="preserve">X</x18tc:text>
  </x18tc:threadedComment>
  <x18tc:threadedComment ref="L18" dT="2026-01-17T22:33:14.00" personId="{6317fb45-6b03-48e6-ae1e-b59f70210ba1}" id="{826bc6dc-dbcd-42bc-a0d1-ba734374ad8d}" done="0">
    <x18tc:text xml:space="preserve">C</x18tc:text>
  </x18tc:threadedComment>
  <x18tc:threadedComment ref="G16" dT="2026-01-17T22:38:44.00" personId="{6317fb45-6b03-48e6-ae1e-b59f70210ba1}" id="{b9377162-a288-49d8-b11e-54f855177113}" done="0">
    <x18tc:text xml:space="preserve">X</x18tc:text>
  </x18tc:threadedComment>
  <x18tc:threadedComment ref="A10" dT="2026-01-17T22:34:50.00" personId="{6317fb45-6b03-48e6-ae1e-b59f70210ba1}" id="{d4e8f1bf-fd86-4433-b187-66947a483573}" done="0">
    <x18tc:text xml:space="preserve">X</x18tc:text>
  </x18tc:threadedComment>
  <x18tc:threadedComment ref="G14" dT="2026-01-17T22:38:30.00" personId="{6317fb45-6b03-48e6-ae1e-b59f70210ba1}" id="{964e23eb-7149-48b2-94bf-3276b766e892}" done="0">
    <x18tc:text xml:space="preserve">X</x18tc:text>
  </x18tc:threadedComment>
  <x18tc:threadedComment ref="A10" dT="2020-05-18T13:00:36.00" personId="{94a078ec-9a42-4fca-9201-c96dbbcc143e}" id="{d491f808-8c04-485c-a06c-2ce7c05cce74}" done="1">
    <x18tc:text xml:space="preserve">+</x18tc:text>
  </x18tc:threadedComment>
  <x18tc:threadedComment ref="A41" dT="2026-01-17T22:37:58.00" personId="{6317fb45-6b03-48e6-ae1e-b59f70210ba1}" id="{0098f942-305a-4929-86df-1f3825f784af}" done="0">
    <x18tc:text xml:space="preserve">X</x18tc:text>
  </x18tc:threadedComment>
  <x18tc:threadedComment ref="A34" dT="2026-01-17T22:37:18.00" personId="{6317fb45-6b03-48e6-ae1e-b59f70210ba1}" id="{ecd722b1-0f90-4b6a-9683-5e75731ba7f9}" done="0">
    <x18tc:text xml:space="preserve">X</x18tc:text>
  </x18tc:threadedComment>
  <x18tc:threadedComment ref="L17" dT="2026-01-17T22:33:09.00" personId="{6317fb45-6b03-48e6-ae1e-b59f70210ba1}" id="{85b03e41-624c-43a8-b7ad-1c1fb686c6a2}" done="0">
    <x18tc:text xml:space="preserve">C</x18tc:text>
  </x18tc:threadedComment>
  <x18tc:threadedComment ref="A40" dT="2026-01-17T22:37:51.00" personId="{6317fb45-6b03-48e6-ae1e-b59f70210ba1}" id="{55c95f1b-9026-421e-8a5c-78db6cffaa64}" done="0">
    <x18tc:text xml:space="preserve">X</x18tc:text>
  </x18tc:threadedComment>
  <x18tc:threadedComment ref="A31" dT="2026-01-17T22:36:51.00" personId="{6317fb45-6b03-48e6-ae1e-b59f70210ba1}" id="{a90e307a-134a-4b20-b959-d0a2d4b0223b}" done="0">
    <x18tc:text xml:space="preserve">X</x18tc:text>
  </x18tc:threadedComment>
  <x18tc:threadedComment ref="A30" dT="2026-01-17T22:36:40.00" personId="{6317fb45-6b03-48e6-ae1e-b59f70210ba1}" id="{418e54fa-0815-40ec-9da2-131a15e0a525}" done="0">
    <x18tc:text xml:space="preserve">X</x18tc:text>
  </x18tc:threadedComment>
  <x18tc:threadedComment ref="L16" dT="2026-01-17T22:33:03.00" personId="{6317fb45-6b03-48e6-ae1e-b59f70210ba1}" id="{2c0f70b8-71de-4363-bfc3-8e87f0069b54}" done="0">
    <x18tc:text xml:space="preserve">C</x18tc:text>
  </x18tc:threadedComment>
  <x18tc:threadedComment ref="A39" dT="2026-01-17T22:37:44.00" personId="{6317fb45-6b03-48e6-ae1e-b59f70210ba1}" id="{1c23a3c3-94bc-4c2f-a6a9-78449c398e63}" done="0">
    <x18tc:text xml:space="preserve">X</x18tc:text>
  </x18tc:threadedComment>
  <x18tc:threadedComment ref="A32" dT="2026-01-17T22:36:46.00" personId="{6317fb45-6b03-48e6-ae1e-b59f70210ba1}" id="{fc4bee5a-5954-43cf-9359-35b51b817ae2}" done="0">
    <x18tc:text xml:space="preserve">X</x18tc:text>
  </x18tc:threadedComment>
  <x18tc:threadedComment ref="A28" dT="2026-01-17T22:36:25.00" personId="{6317fb45-6b03-48e6-ae1e-b59f70210ba1}" id="{af4d84c5-df1f-49a6-be36-1743dc88c924}" done="0">
    <x18tc:text xml:space="preserve">X</x18tc:text>
  </x18tc:threadedComment>
  <x18tc:threadedComment ref="L14" dT="2026-01-17T22:32:57.00" personId="{6317fb45-6b03-48e6-ae1e-b59f70210ba1}" id="{2c9ff6d3-f29b-447f-9cc4-dbefe0f81168}" done="0">
    <x18tc:text xml:space="preserve">X</x18tc:text>
  </x18tc:threadedComment>
  <x18tc:threadedComment ref="A38" dT="2026-01-17T22:37:39.00" personId="{6317fb45-6b03-48e6-ae1e-b59f70210ba1}" id="{3336c822-4dc8-40b4-a808-bb9ecd0ae070}" done="0">
    <x18tc:text xml:space="preserve">X</x18tc:text>
  </x18tc:threadedComment>
  <x18tc:threadedComment ref="A27" dT="2026-01-17T22:36:19.00" personId="{6317fb45-6b03-48e6-ae1e-b59f70210ba1}" id="{9e59c3f9-09a4-46e7-a40e-ac218f7f3ba5}" done="0">
    <x18tc:text xml:space="preserve">X</x18tc:text>
  </x18tc:threadedComment>
  <x18tc:threadedComment ref="L15" dT="2026-01-17T22:32:53.00" personId="{6317fb45-6b03-48e6-ae1e-b59f70210ba1}" id="{5a1d52e1-a3cf-473c-91c9-6f6544a2ba95}" done="0">
    <x18tc:text xml:space="preserve">X</x18tc:text>
  </x18tc:threadedComment>
  <x18tc:threadedComment ref="A37" dT="2026-01-17T22:37:34.00" personId="{6317fb45-6b03-48e6-ae1e-b59f70210ba1}" id="{4e0196d1-96a2-466c-9da3-341869063765}" done="0">
    <x18tc:text xml:space="preserve">X</x18tc:text>
  </x18tc:threadedComment>
  <x18tc:threadedComment ref="A26" dT="2026-01-17T22:36:14.00" personId="{6317fb45-6b03-48e6-ae1e-b59f70210ba1}" id="{6e75711f-1a1c-43d8-88ac-f024154f68b2}" done="0">
    <x18tc:text xml:space="preserve">X</x18tc:text>
  </x18tc:threadedComment>
  <x18tc:threadedComment ref="L12" dT="2026-01-17T22:32:42.00" personId="{6317fb45-6b03-48e6-ae1e-b59f70210ba1}" id="{ba833aa6-bf03-4aa5-9e4c-15bc835a4e3a}" done="0">
    <x18tc:text xml:space="preserve">C</x18tc:text>
  </x18tc:threadedComment>
  <x18tc:threadedComment ref="A36" dT="2026-01-17T22:37:29.00" personId="{6317fb45-6b03-48e6-ae1e-b59f70210ba1}" id="{1e018a38-d0c3-471c-a6f2-6fb6d3d38a7c}" done="0">
    <x18tc:text xml:space="preserve">X</x18tc:text>
  </x18tc:threadedComment>
  <x18tc:threadedComment ref="A25" dT="2026-01-17T22:36:08.00" personId="{6317fb45-6b03-48e6-ae1e-b59f70210ba1}" id="{f6f743c3-937b-4b92-b1c0-7ab74dbd01ef}" done="0">
    <x18tc:text xml:space="preserve">X</x18tc:text>
  </x18tc:threadedComment>
  <x18tc:threadedComment ref="L10" dT="2026-01-17T22:32:04.00" personId="{6317fb45-6b03-48e6-ae1e-b59f70210ba1}" id="{2ce78964-689f-494d-af36-dd2bc03ea341}" done="0">
    <x18tc:text xml:space="preserve">C</x18tc:text>
  </x18tc:threadedComment>
  <x18tc:threadedComment ref="A35" dT="2026-01-17T22:37:23.00" personId="{6317fb45-6b03-48e6-ae1e-b59f70210ba1}" id="{d4300897-899b-4d8c-959f-3ba6eb6f602f}" done="0">
    <x18tc:text xml:space="preserve">X</x18tc:text>
  </x18tc:threadedComment>
  <x18tc:threadedComment ref="A21" dT="2026-01-17T22:35:54.00" personId="{6317fb45-6b03-48e6-ae1e-b59f70210ba1}" id="{d7eb3808-61a5-4c98-945b-71f993af5631}" done="0">
    <x18tc:text xml:space="preserve">X</x18tc:text>
  </x18tc:threadedComment>
  <x18tc:threadedComment ref="L9" dT="2026-01-17T22:31:14.00" personId="{6317fb45-6b03-48e6-ae1e-b59f70210ba1}" id="{f6b6065e-cc1e-4f1e-a62b-d43942fc25ba}" done="0">
    <x18tc:text xml:space="preserve">X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1-11-01T18:56:19.00" personId="{e1cf3781-9a7a-41a7-a5b1-b26ba7a57c98}" id="{45894efe-b565-4686-b0c6-4016c1b2e8ab}" done="1">
    <x18tc:text xml:space="preserve">TRUE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5.25"/>
    <col customWidth="1" min="3" max="3" width="9.38"/>
    <col customWidth="1" min="4" max="4" width="12.63"/>
    <col customWidth="1" min="5" max="5" width="13.88"/>
    <col customWidth="1" min="6" max="6" width="12.63"/>
    <col customWidth="1" min="7" max="7" width="2.75"/>
    <col customWidth="1" min="8" max="8" width="19.88"/>
    <col customWidth="1" min="9" max="9" width="5.13"/>
    <col customWidth="1" min="10" max="10" width="12.63"/>
    <col customWidth="1" min="11" max="11" width="18.88"/>
    <col customWidth="1" min="12" max="12" width="2.75"/>
    <col customWidth="1" min="13" max="13" width="15.88"/>
    <col customWidth="1" min="14" max="14" width="6.0"/>
    <col customWidth="1" min="15" max="15" width="12.63"/>
    <col customWidth="1" min="16" max="16" width="2.75"/>
    <col customWidth="1" min="17" max="17" width="62.6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>
      <c r="B2" s="3" t="s">
        <v>0</v>
      </c>
      <c r="C2" s="4"/>
      <c r="D2" s="5" t="s">
        <v>1</v>
      </c>
      <c r="E2" s="4"/>
      <c r="F2" s="6"/>
      <c r="G2" s="6"/>
      <c r="H2" s="7" t="str">
        <f>HYPERLINK("https://docs.google.com/spreadsheets/d/1WjVJYD4kbS5LeeMlD7FhZCc-tDsJewk6yhKDCo_-eXM/copy", "Click here to create your own copy! (Or go to File &gt; Make a copy)")</f>
        <v>Click here to create your own copy! (Or go to File &gt; Make a copy)</v>
      </c>
      <c r="L2" s="7"/>
      <c r="P2" s="8"/>
      <c r="Q2" s="9" t="str">
        <f>IFERROR(__xludf.DUMMYFUNCTION("IF(
        NOT(
                IMPORTRANGE(
                        ""https://docs.google.com/spreadsheets/d/1WjVJYD4kbS5LeeMlD7FhZCc-tDsJewk6yhKDCo_-eXM"",
                        ""Version!B1""
                )
                =
                Versi"&amp;"on!B1
        ),
        {
                ""If this message is visible, this sheet is out of date."";
                ""To stay up to date, you will need to create a new copy of the sheet"";
                ""by clicking the link above."";
              "&amp;"  ""The left column from the Fish/Bugs/Sea Creatures page can be copied"";
                ""and pasted to the new sheet to avoid losing info."";
                                """";
                                ""The following changes have been made:"&amp;""";
                                IFERROR(
                                        FILTER(
                                                IMPORTRANGE(
                                                        ""https://docs.google.com/spreadsheets/d/1WjV"&amp;"JYD4kbS5LeeMlD7FhZCc-tDsJewk6yhKDCo_-eXM"",
                                                        ""Version!B4:B""
                                                ),
                                                ARRAYFORMULA(
                         "&amp;"                               IMPORTRANGE(
                                                                ""https://docs.google.com/spreadsheets/d/1WjVJYD4kbS5LeeMlD7FhZCc-tDsJewk6yhKDCo_-eXM"",
                                                          "&amp;"      ""Version!A4:A""
                                                        )
                                                        &gt; Version!B1
                                                )
                                        ),
            "&amp;"                    """")
        },
        """"
)"),"")</f>
        <v/>
      </c>
    </row>
    <row r="3">
      <c r="B3" s="3" t="s">
        <v>2</v>
      </c>
      <c r="C3" s="4"/>
      <c r="D3" s="5" t="s">
        <v>3</v>
      </c>
      <c r="E3" s="4"/>
      <c r="F3" s="10"/>
      <c r="G3" s="10"/>
      <c r="H3" s="10"/>
      <c r="I3" s="10"/>
      <c r="J3" s="10"/>
      <c r="K3" s="10"/>
      <c r="L3" s="10"/>
      <c r="P3" s="8"/>
      <c r="Q3" s="11"/>
    </row>
    <row r="4">
      <c r="B4" s="3" t="s">
        <v>4</v>
      </c>
      <c r="C4" s="4"/>
      <c r="D4" s="12" t="s">
        <v>5</v>
      </c>
      <c r="E4" s="12" t="s">
        <v>6</v>
      </c>
      <c r="F4" s="6"/>
      <c r="G4" s="6"/>
      <c r="H4" s="13" t="s">
        <v>7</v>
      </c>
      <c r="L4" s="13"/>
      <c r="P4" s="8"/>
      <c r="Q4" s="13"/>
    </row>
    <row r="5">
      <c r="B5" s="14" t="s">
        <v>8</v>
      </c>
      <c r="C5" s="4"/>
      <c r="D5" s="15" t="b">
        <v>0</v>
      </c>
      <c r="E5" s="4"/>
      <c r="F5" s="2"/>
      <c r="G5" s="2"/>
      <c r="L5" s="13"/>
      <c r="P5" s="2"/>
      <c r="Q5" s="13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P6" s="2"/>
      <c r="Q6" s="1"/>
    </row>
    <row r="7">
      <c r="B7" s="16" t="s">
        <v>9</v>
      </c>
      <c r="C7" s="17"/>
      <c r="D7" s="17"/>
      <c r="E7" s="17"/>
      <c r="F7" s="18"/>
      <c r="G7" s="6"/>
      <c r="H7" s="19" t="s">
        <v>10</v>
      </c>
      <c r="I7" s="20"/>
      <c r="J7" s="20"/>
      <c r="K7" s="21"/>
      <c r="L7" s="6"/>
      <c r="M7" s="22" t="s">
        <v>11</v>
      </c>
      <c r="N7" s="23"/>
      <c r="O7" s="4"/>
      <c r="P7" s="6"/>
      <c r="Q7" s="6"/>
    </row>
    <row r="8">
      <c r="B8" s="24" t="s">
        <v>12</v>
      </c>
      <c r="C8" s="24" t="s">
        <v>13</v>
      </c>
      <c r="D8" s="24" t="s">
        <v>14</v>
      </c>
      <c r="E8" s="24" t="s">
        <v>15</v>
      </c>
      <c r="F8" s="24" t="s">
        <v>16</v>
      </c>
      <c r="G8" s="25"/>
      <c r="H8" s="24" t="s">
        <v>12</v>
      </c>
      <c r="I8" s="24" t="s">
        <v>13</v>
      </c>
      <c r="J8" s="24" t="s">
        <v>14</v>
      </c>
      <c r="K8" s="24" t="s">
        <v>15</v>
      </c>
      <c r="L8" s="2"/>
      <c r="M8" s="26" t="s">
        <v>12</v>
      </c>
      <c r="N8" s="26" t="s">
        <v>13</v>
      </c>
      <c r="O8" s="26" t="s">
        <v>14</v>
      </c>
      <c r="P8" s="6"/>
      <c r="Q8" s="6"/>
    </row>
    <row r="9">
      <c r="B9" s="27" t="str">
        <f>IFERROR(__xludf.DUMMYFUNCTION("IFNA(
    FILTER(
        SORT(
            FILTER(
                {
                    ARRAYFORMULA(
                        IF (
                            INDEX(
                                IF(
                                    D3=""Southern"""&amp;",
                                    Fish!T3:AE82,
                                    Fish!G3:R82
                                ),
                                0,
                                MATCH(
                                    D2,
      "&amp;"                              {""January"",""February"",""March"",""April"",""May"",""June"",""July"",""August"",""September"",""October"",""November"",""December""},
                                    0
                                )
                "&amp;"            )
                            *
                            NOT(INDEX(
                                IF(
                                        D3=""Southern"",
                                        Fish!T3:AE82,
                         "&amp;"               Fish!G3:R82
                                ),
                                0,
                                MOD(
                                        MATCH(
                                                D2,
                      "&amp;"                          {""January"",""February"",""March"",""April"",""May"",""June"",""July"",""August"",""September"",""October"",""November"",""December""},
                                                0
                                        ),"&amp;"
                                        12
                                ) + 1
                            )),
                            ""★ "" &amp; Fish!B3:B82,
                            Fish!B3:B82
                        )
                    ),
  "&amp;"                  Fish!B3:F82
                },
                INDEX(
                    IF(
                        D3=""Southern"",
                        Fish!T3:AE82,
                        Fish!G3:R82
                    ),
                    0"&amp;",
                    MATCH(
                        D2,
                        {""January"",""February"",""March"",""April"",""May"",""June"",""July"",""August"",""September"",""October"",""November"",""December""},
                        0
           "&amp;"         )
                )
                *
                ARRAYFORMULA(
                    D5*Fish!A3:A82 = 0
                )
            ),
            MATCH(
                D4,
                {""None"", ""Last chance"", ""Name"", ""Price"", """&amp;"Time"", ""Location"", ""Size""},
                0
            )
            -1,
            MATCH(
                E4,
                {""Descending"", ""Ascending""},
                0
            )
            -1
        ),
        {TRUE, FALSE, TRUE, "&amp;"TRUE, TRUE, TRUE}
    ),
    {"""", """", """", """", """"}
)"),"★ Bitterling")</f>
        <v>★ Bitterling</v>
      </c>
      <c r="C9" s="27">
        <f>IFERROR(__xludf.DUMMYFUNCTION("""COMPUTED_VALUE"""),900.0)</f>
        <v>900</v>
      </c>
      <c r="D9" s="27" t="str">
        <f>IFERROR(__xludf.DUMMYFUNCTION("""COMPUTED_VALUE"""),"All day")</f>
        <v>All day</v>
      </c>
      <c r="E9" s="27" t="str">
        <f>IFERROR(__xludf.DUMMYFUNCTION("""COMPUTED_VALUE"""),"River")</f>
        <v>River</v>
      </c>
      <c r="F9" s="27" t="str">
        <f>IFERROR(__xludf.DUMMYFUNCTION("""COMPUTED_VALUE"""),"Smallest")</f>
        <v>Smallest</v>
      </c>
      <c r="G9" s="25"/>
      <c r="H9" s="27" t="str">
        <f>IFERROR(__xludf.DUMMYFUNCTION("IFNA(
        FILTER(
                SORT(
                        FILTER(
                                {
                                        ARRAYFORMULA(
                                                IF (
                                      "&amp;"                  INDEX(
                                                                IF(
                                                                        D3=""Southern"",
                                                                        B"&amp;"ugs!U3:AF82,
                                                                        Bugs!H3:S82
                                                                ),
                                                                0,
                        "&amp;"                                        MATCH(
                                                                        D2,
                                                                        {""January"",""February"",""March"",""April"",""May"",""June"&amp;""",""July"",""August"",""September"",""October"",""November"",""December""},
                                                                        0
                                                                )
                                      "&amp;"                  )
                                                        *
                                                        NOT(INDEX(
                                                                IF(
                                          "&amp;"                                      D3=""Southern"",
                                                                                Bugs!U3:AF82,
                                                                                Bugs!H3:S82
              "&amp;"                                                  ),
                                                                0,
                                                                MOD(
                                                                  "&amp;"              MATCH(
                                                                                                D2,
                                                                                                {""January"",""February"",""March"","""&amp;"April"",""May"",""June"",""July"",""August"",""September"",""October"",""November"",""December""},
                                                                                                0
                                                          "&amp;"                      ),
                                                                                12
                                                                ) + 1
                                                        )),
                 "&amp;"                                       ""★ "" &amp; Bugs!B3:B82,
                                                        Bugs!B3:B82
                                                )
                                        ),
                                 "&amp;"       Bugs!B3:E82
                                },
                                INDEX(
                                        IF(
                                                D3=""Southern"",
                                                Bugs!"&amp;"U3:AF82,
                                                Bugs!H3:S82
                                        ),
                                        0,
                                        MATCH(
                                                D2,
 "&amp;"                                               {""January"",""February"",""March"",""April"",""May"",""June"",""July"",""August"",""September"",""October"",""November"",""December""},
                                                0
                     "&amp;"                   )
                                )
                                *
                                ARRAYFORMULA(
                                        D5*Bugs!A3:A82 = 0
                                )
                        ),
"&amp;"                        MATCH(
                                D4,
                                {""None"", ""Last chance"", ""Name"", ""Price"", ""Time"", ""Location"", ""Size""},
                                0
                        )
            "&amp;"            -1,
                        MATCH(
                                E4,
                                {""Descending"", ""Ascending""},
                                0
                        )
                        -1
                ),
 "&amp;"               {TRUE, FALSE, TRUE, TRUE, TRUE}
        ),
        {"""", """", """", """", """"}
)"),"★ Emperor butterfly")</f>
        <v>★ Emperor butterfly</v>
      </c>
      <c r="I9" s="27">
        <f>IFERROR(__xludf.DUMMYFUNCTION("""COMPUTED_VALUE"""),4000.0)</f>
        <v>4000</v>
      </c>
      <c r="J9" s="27" t="str">
        <f>IFERROR(__xludf.DUMMYFUNCTION("""COMPUTED_VALUE"""),"5 p.m. - 8 a.m.")</f>
        <v>5 p.m. - 8 a.m.</v>
      </c>
      <c r="K9" s="27" t="str">
        <f>IFERROR(__xludf.DUMMYFUNCTION("""COMPUTED_VALUE"""),"Flying")</f>
        <v>Flying</v>
      </c>
      <c r="L9" s="1"/>
      <c r="M9" s="28" t="str">
        <f>IFERROR(__xludf.DUMMYFUNCTION("IFNA(
    FILTER(
        SORT(
            FILTER(
                {
                    ARRAYFORMULA(
                        IF (
                            INDEX(
                                IF(
                                    D3=""Southern"""&amp;",
                                    'Sea Creatures'!R3:AC42,
                                    'Sea Creatures'!E3:P42
                                ),
                                0,
                                MATCH(
                        "&amp;"            D2,
                                    {""January"",""February"",""March"",""April"",""May"",""June"",""July"",""August"",""September"",""October"",""November"",""December""},
                                    0
                            "&amp;"    )
                            )
                            *
                            NOT(INDEX(
                                IF(
                                        D3=""Southern"",
                                        'Sea Creatures'!R"&amp;"3:AC42,
                                        'Sea Creatures'!E3:P42
                                ),
                                0,
                                MOD(
                                        MATCH(
                              "&amp;"                  D2,
                                                {""January"",""February"",""March"",""April"",""May"",""June"",""July"",""August"",""September"",""October"",""November"",""December""},
                                                "&amp;"0
                                        ),
                                        12
                                ) + 1
                            )),
                            ""★ "" &amp; 'Sea Creatures'!B3:B42,
                            'Sea Cre"&amp;"atures'!B3:B42
                        )
                    ),
                    'Sea Creatures'!B3:D42
                },
                INDEX(
                    IF(
                        D3=""Southern"",
                        'Sea Creatures'!R"&amp;"3:AC42,
                        'Sea Creatures'!E3:P42
                    ),
                    0,
                    MATCH(
                        D2,
                        {""January"",""February"",""March"",""April"",""May"",""June"",""July"",""A"&amp;"ugust"",""September"",""October"",""November"",""December""},
                        0
                    )
                )
                *
                ARRAYFORMULA(
                    D5*'Sea Creatures'!A3:A42 = 0
                )
           "&amp;" ),
            MATCH(
                D4,
                {""None"", ""Last chance"", ""Name"", ""Price"", ""Time"", ""Location"", ""Size""},
                0
            )
            -1,
            MATCH(
                E4,
                {""Descen"&amp;"ding"", ""Ascending""},
                0
            )
            -1
        ),
        {TRUE, FALSE, TRUE, TRUE}
    ),
    {"""", """", """"}
)"),"★ Red king crab")</f>
        <v>★ Red king crab</v>
      </c>
      <c r="N9" s="29">
        <f>IFERROR(__xludf.DUMMYFUNCTION("""COMPUTED_VALUE"""),8000.0)</f>
        <v>8000</v>
      </c>
      <c r="O9" s="30" t="str">
        <f>IFERROR(__xludf.DUMMYFUNCTION("""COMPUTED_VALUE"""),"All day")</f>
        <v>All day</v>
      </c>
      <c r="P9" s="6"/>
      <c r="Q9" s="6"/>
    </row>
    <row r="10">
      <c r="B10" s="27" t="str">
        <f>IFERROR(__xludf.DUMMYFUNCTION("""COMPUTED_VALUE"""),"★ Football fish")</f>
        <v>★ Football fish</v>
      </c>
      <c r="C10" s="27">
        <f>IFERROR(__xludf.DUMMYFUNCTION("""COMPUTED_VALUE"""),2500.0)</f>
        <v>2500</v>
      </c>
      <c r="D10" s="27" t="str">
        <f>IFERROR(__xludf.DUMMYFUNCTION("""COMPUTED_VALUE"""),"4 p.m. - 9 a.m.")</f>
        <v>4 p.m. - 9 a.m.</v>
      </c>
      <c r="E10" s="27" t="str">
        <f>IFERROR(__xludf.DUMMYFUNCTION("""COMPUTED_VALUE"""),"Sea")</f>
        <v>Sea</v>
      </c>
      <c r="F10" s="27" t="str">
        <f>IFERROR(__xludf.DUMMYFUNCTION("""COMPUTED_VALUE"""),"Large")</f>
        <v>Large</v>
      </c>
      <c r="G10" s="25"/>
      <c r="H10" s="27" t="str">
        <f>IFERROR(__xludf.DUMMYFUNCTION("""COMPUTED_VALUE"""),"Ant")</f>
        <v>Ant</v>
      </c>
      <c r="I10" s="27">
        <f>IFERROR(__xludf.DUMMYFUNCTION("""COMPUTED_VALUE"""),80.0)</f>
        <v>80</v>
      </c>
      <c r="J10" s="27" t="str">
        <f>IFERROR(__xludf.DUMMYFUNCTION("""COMPUTED_VALUE"""),"All day")</f>
        <v>All day</v>
      </c>
      <c r="K10" s="27" t="str">
        <f>IFERROR(__xludf.DUMMYFUNCTION("""COMPUTED_VALUE"""),"On rotten food")</f>
        <v>On rotten food</v>
      </c>
      <c r="L10" s="6"/>
      <c r="M10" s="31" t="str">
        <f>IFERROR(__xludf.DUMMYFUNCTION("""COMPUTED_VALUE"""),"Acorn barnacle")</f>
        <v>Acorn barnacle</v>
      </c>
      <c r="N10" s="32">
        <f>IFERROR(__xludf.DUMMYFUNCTION("""COMPUTED_VALUE"""),600.0)</f>
        <v>600</v>
      </c>
      <c r="O10" s="33" t="str">
        <f>IFERROR(__xludf.DUMMYFUNCTION("""COMPUTED_VALUE"""),"All day")</f>
        <v>All day</v>
      </c>
      <c r="P10" s="6"/>
      <c r="Q10" s="6"/>
    </row>
    <row r="11">
      <c r="B11" s="27" t="str">
        <f>IFERROR(__xludf.DUMMYFUNCTION("""COMPUTED_VALUE"""),"★ Sea butterfly")</f>
        <v>★ Sea butterfly</v>
      </c>
      <c r="C11" s="27">
        <f>IFERROR(__xludf.DUMMYFUNCTION("""COMPUTED_VALUE"""),1000.0)</f>
        <v>1000</v>
      </c>
      <c r="D11" s="27" t="str">
        <f>IFERROR(__xludf.DUMMYFUNCTION("""COMPUTED_VALUE"""),"All day")</f>
        <v>All day</v>
      </c>
      <c r="E11" s="27" t="str">
        <f>IFERROR(__xludf.DUMMYFUNCTION("""COMPUTED_VALUE"""),"Sea")</f>
        <v>Sea</v>
      </c>
      <c r="F11" s="27" t="str">
        <f>IFERROR(__xludf.DUMMYFUNCTION("""COMPUTED_VALUE"""),"Smallest")</f>
        <v>Smallest</v>
      </c>
      <c r="G11" s="25"/>
      <c r="H11" s="27" t="str">
        <f>IFERROR(__xludf.DUMMYFUNCTION("""COMPUTED_VALUE"""),"Bagworm")</f>
        <v>Bagworm</v>
      </c>
      <c r="I11" s="27">
        <f>IFERROR(__xludf.DUMMYFUNCTION("""COMPUTED_VALUE"""),600.0)</f>
        <v>600</v>
      </c>
      <c r="J11" s="27" t="str">
        <f>IFERROR(__xludf.DUMMYFUNCTION("""COMPUTED_VALUE"""),"All day")</f>
        <v>All day</v>
      </c>
      <c r="K11" s="27" t="str">
        <f>IFERROR(__xludf.DUMMYFUNCTION("""COMPUTED_VALUE"""),"Falls from shaking trees")</f>
        <v>Falls from shaking trees</v>
      </c>
      <c r="L11" s="2"/>
      <c r="M11" s="34" t="str">
        <f>IFERROR(__xludf.DUMMYFUNCTION("""COMPUTED_VALUE"""),"Chambered nautilus")</f>
        <v>Chambered nautilus</v>
      </c>
      <c r="N11" s="35">
        <f>IFERROR(__xludf.DUMMYFUNCTION("""COMPUTED_VALUE"""),1800.0)</f>
        <v>1800</v>
      </c>
      <c r="O11" s="36" t="str">
        <f>IFERROR(__xludf.DUMMYFUNCTION("""COMPUTED_VALUE"""),"4 p.m. - 9 a.m.")</f>
        <v>4 p.m. - 9 a.m.</v>
      </c>
      <c r="P11" s="6"/>
      <c r="Q11" s="6"/>
    </row>
    <row r="12">
      <c r="B12" s="27" t="str">
        <f>IFERROR(__xludf.DUMMYFUNCTION("""COMPUTED_VALUE"""),"★ Stringfish")</f>
        <v>★ Stringfish</v>
      </c>
      <c r="C12" s="27">
        <f>IFERROR(__xludf.DUMMYFUNCTION("""COMPUTED_VALUE"""),15000.0)</f>
        <v>15000</v>
      </c>
      <c r="D12" s="27" t="str">
        <f>IFERROR(__xludf.DUMMYFUNCTION("""COMPUTED_VALUE"""),"4 p.m. - 9 a.m.")</f>
        <v>4 p.m. - 9 a.m.</v>
      </c>
      <c r="E12" s="27" t="str">
        <f>IFERROR(__xludf.DUMMYFUNCTION("""COMPUTED_VALUE"""),"River (Clifftop)")</f>
        <v>River (Clifftop)</v>
      </c>
      <c r="F12" s="27" t="str">
        <f>IFERROR(__xludf.DUMMYFUNCTION("""COMPUTED_VALUE"""),"Largest")</f>
        <v>Largest</v>
      </c>
      <c r="G12" s="25"/>
      <c r="H12" s="27" t="str">
        <f>IFERROR(__xludf.DUMMYFUNCTION("""COMPUTED_VALUE"""),"Centipede")</f>
        <v>Centipede</v>
      </c>
      <c r="I12" s="27">
        <f>IFERROR(__xludf.DUMMYFUNCTION("""COMPUTED_VALUE"""),300.0)</f>
        <v>300</v>
      </c>
      <c r="J12" s="27" t="str">
        <f>IFERROR(__xludf.DUMMYFUNCTION("""COMPUTED_VALUE"""),"4 p.m. - 11 p.m.")</f>
        <v>4 p.m. - 11 p.m.</v>
      </c>
      <c r="K12" s="27" t="str">
        <f>IFERROR(__xludf.DUMMYFUNCTION("""COMPUTED_VALUE"""),"Hit rocks")</f>
        <v>Hit rocks</v>
      </c>
      <c r="L12" s="7"/>
      <c r="M12" s="31" t="str">
        <f>IFERROR(__xludf.DUMMYFUNCTION("""COMPUTED_VALUE"""),"Dungeness crab")</f>
        <v>Dungeness crab</v>
      </c>
      <c r="N12" s="32">
        <f>IFERROR(__xludf.DUMMYFUNCTION("""COMPUTED_VALUE"""),1900.0)</f>
        <v>1900</v>
      </c>
      <c r="O12" s="37" t="str">
        <f>IFERROR(__xludf.DUMMYFUNCTION("""COMPUTED_VALUE"""),"All day")</f>
        <v>All day</v>
      </c>
      <c r="P12" s="6"/>
      <c r="Q12" s="6"/>
    </row>
    <row r="13">
      <c r="B13" s="27" t="str">
        <f>IFERROR(__xludf.DUMMYFUNCTION("""COMPUTED_VALUE"""),"★ Sturgeon")</f>
        <v>★ Sturgeon</v>
      </c>
      <c r="C13" s="27">
        <f>IFERROR(__xludf.DUMMYFUNCTION("""COMPUTED_VALUE"""),10000.0)</f>
        <v>10000</v>
      </c>
      <c r="D13" s="27" t="str">
        <f>IFERROR(__xludf.DUMMYFUNCTION("""COMPUTED_VALUE"""),"All day")</f>
        <v>All day</v>
      </c>
      <c r="E13" s="27" t="str">
        <f>IFERROR(__xludf.DUMMYFUNCTION("""COMPUTED_VALUE"""),"River (mouth)")</f>
        <v>River (mouth)</v>
      </c>
      <c r="F13" s="27" t="str">
        <f>IFERROR(__xludf.DUMMYFUNCTION("""COMPUTED_VALUE"""),"Largest")</f>
        <v>Largest</v>
      </c>
      <c r="G13" s="25"/>
      <c r="H13" s="27" t="str">
        <f>IFERROR(__xludf.DUMMYFUNCTION("""COMPUTED_VALUE"""),"Citrus long-horned beetle")</f>
        <v>Citrus long-horned beetle</v>
      </c>
      <c r="I13" s="27">
        <f>IFERROR(__xludf.DUMMYFUNCTION("""COMPUTED_VALUE"""),350.0)</f>
        <v>350</v>
      </c>
      <c r="J13" s="27" t="str">
        <f>IFERROR(__xludf.DUMMYFUNCTION("""COMPUTED_VALUE"""),"All day")</f>
        <v>All day</v>
      </c>
      <c r="K13" s="27" t="str">
        <f>IFERROR(__xludf.DUMMYFUNCTION("""COMPUTED_VALUE"""),"On tree stumps")</f>
        <v>On tree stumps</v>
      </c>
      <c r="L13" s="2"/>
      <c r="M13" s="34" t="str">
        <f>IFERROR(__xludf.DUMMYFUNCTION("""COMPUTED_VALUE"""),"Firefly squid")</f>
        <v>Firefly squid</v>
      </c>
      <c r="N13" s="35">
        <f>IFERROR(__xludf.DUMMYFUNCTION("""COMPUTED_VALUE"""),1400.0)</f>
        <v>1400</v>
      </c>
      <c r="O13" s="36" t="str">
        <f>IFERROR(__xludf.DUMMYFUNCTION("""COMPUTED_VALUE"""),"9 p.m. - 4 a.m.")</f>
        <v>9 p.m. - 4 a.m.</v>
      </c>
      <c r="P13" s="6"/>
      <c r="Q13" s="6"/>
    </row>
    <row r="14">
      <c r="B14" s="27" t="str">
        <f>IFERROR(__xludf.DUMMYFUNCTION("""COMPUTED_VALUE"""),"★ Yellow perch")</f>
        <v>★ Yellow perch</v>
      </c>
      <c r="C14" s="27">
        <f>IFERROR(__xludf.DUMMYFUNCTION("""COMPUTED_VALUE"""),300.0)</f>
        <v>300</v>
      </c>
      <c r="D14" s="27" t="str">
        <f>IFERROR(__xludf.DUMMYFUNCTION("""COMPUTED_VALUE"""),"All day")</f>
        <v>All day</v>
      </c>
      <c r="E14" s="27" t="str">
        <f>IFERROR(__xludf.DUMMYFUNCTION("""COMPUTED_VALUE"""),"River")</f>
        <v>River</v>
      </c>
      <c r="F14" s="27" t="str">
        <f>IFERROR(__xludf.DUMMYFUNCTION("""COMPUTED_VALUE"""),"Medium")</f>
        <v>Medium</v>
      </c>
      <c r="G14" s="25"/>
      <c r="H14" s="27" t="str">
        <f>IFERROR(__xludf.DUMMYFUNCTION("""COMPUTED_VALUE"""),"Common butterfly")</f>
        <v>Common butterfly</v>
      </c>
      <c r="I14" s="27">
        <f>IFERROR(__xludf.DUMMYFUNCTION("""COMPUTED_VALUE"""),160.0)</f>
        <v>160</v>
      </c>
      <c r="J14" s="27" t="str">
        <f>IFERROR(__xludf.DUMMYFUNCTION("""COMPUTED_VALUE"""),"4 a.m. - 7 p.m.")</f>
        <v>4 a.m. - 7 p.m.</v>
      </c>
      <c r="K14" s="27" t="str">
        <f>IFERROR(__xludf.DUMMYFUNCTION("""COMPUTED_VALUE"""),"Flying")</f>
        <v>Flying</v>
      </c>
      <c r="L14" s="13"/>
      <c r="M14" s="31" t="str">
        <f>IFERROR(__xludf.DUMMYFUNCTION("""COMPUTED_VALUE"""),"Mantis shrimp")</f>
        <v>Mantis shrimp</v>
      </c>
      <c r="N14" s="32">
        <f>IFERROR(__xludf.DUMMYFUNCTION("""COMPUTED_VALUE"""),2500.0)</f>
        <v>2500</v>
      </c>
      <c r="O14" s="33" t="str">
        <f>IFERROR(__xludf.DUMMYFUNCTION("""COMPUTED_VALUE"""),"4 p.m. - 9 a.m.")</f>
        <v>4 p.m. - 9 a.m.</v>
      </c>
      <c r="P14" s="6"/>
      <c r="Q14" s="6"/>
    </row>
    <row r="15">
      <c r="B15" s="27" t="str">
        <f>IFERROR(__xludf.DUMMYFUNCTION("""COMPUTED_VALUE"""),"Anchovy")</f>
        <v>Anchovy</v>
      </c>
      <c r="C15" s="27">
        <f>IFERROR(__xludf.DUMMYFUNCTION("""COMPUTED_VALUE"""),200.0)</f>
        <v>200</v>
      </c>
      <c r="D15" s="27" t="str">
        <f>IFERROR(__xludf.DUMMYFUNCTION("""COMPUTED_VALUE"""),"4 a.m. - 9 p.m.")</f>
        <v>4 a.m. - 9 p.m.</v>
      </c>
      <c r="E15" s="27" t="str">
        <f>IFERROR(__xludf.DUMMYFUNCTION("""COMPUTED_VALUE"""),"Sea")</f>
        <v>Sea</v>
      </c>
      <c r="F15" s="27" t="str">
        <f>IFERROR(__xludf.DUMMYFUNCTION("""COMPUTED_VALUE"""),"Small")</f>
        <v>Small</v>
      </c>
      <c r="G15" s="25"/>
      <c r="H15" s="27" t="str">
        <f>IFERROR(__xludf.DUMMYFUNCTION("""COMPUTED_VALUE"""),"Fly")</f>
        <v>Fly</v>
      </c>
      <c r="I15" s="27">
        <f>IFERROR(__xludf.DUMMYFUNCTION("""COMPUTED_VALUE"""),60.0)</f>
        <v>60</v>
      </c>
      <c r="J15" s="27" t="str">
        <f>IFERROR(__xludf.DUMMYFUNCTION("""COMPUTED_VALUE"""),"All day")</f>
        <v>All day</v>
      </c>
      <c r="K15" s="27" t="str">
        <f>IFERROR(__xludf.DUMMYFUNCTION("""COMPUTED_VALUE"""),"On trash items")</f>
        <v>On trash items</v>
      </c>
      <c r="L15" s="13"/>
      <c r="M15" s="34" t="str">
        <f>IFERROR(__xludf.DUMMYFUNCTION("""COMPUTED_VALUE"""),"Octopus")</f>
        <v>Octopus</v>
      </c>
      <c r="N15" s="35">
        <f>IFERROR(__xludf.DUMMYFUNCTION("""COMPUTED_VALUE"""),1200.0)</f>
        <v>1200</v>
      </c>
      <c r="O15" s="36" t="str">
        <f>IFERROR(__xludf.DUMMYFUNCTION("""COMPUTED_VALUE"""),"All day")</f>
        <v>All day</v>
      </c>
      <c r="P15" s="6"/>
      <c r="Q15" s="6"/>
    </row>
    <row r="16">
      <c r="B16" s="27" t="str">
        <f>IFERROR(__xludf.DUMMYFUNCTION("""COMPUTED_VALUE"""),"Barred knifejaw")</f>
        <v>Barred knifejaw</v>
      </c>
      <c r="C16" s="27">
        <f>IFERROR(__xludf.DUMMYFUNCTION("""COMPUTED_VALUE"""),5000.0)</f>
        <v>5000</v>
      </c>
      <c r="D16" s="27" t="str">
        <f>IFERROR(__xludf.DUMMYFUNCTION("""COMPUTED_VALUE"""),"All day")</f>
        <v>All day</v>
      </c>
      <c r="E16" s="27" t="str">
        <f>IFERROR(__xludf.DUMMYFUNCTION("""COMPUTED_VALUE"""),"Sea")</f>
        <v>Sea</v>
      </c>
      <c r="F16" s="27" t="str">
        <f>IFERROR(__xludf.DUMMYFUNCTION("""COMPUTED_VALUE"""),"Medium")</f>
        <v>Medium</v>
      </c>
      <c r="G16" s="25"/>
      <c r="H16" s="27" t="str">
        <f>IFERROR(__xludf.DUMMYFUNCTION("""COMPUTED_VALUE"""),"Hermit crab")</f>
        <v>Hermit crab</v>
      </c>
      <c r="I16" s="27">
        <f>IFERROR(__xludf.DUMMYFUNCTION("""COMPUTED_VALUE"""),1000.0)</f>
        <v>1000</v>
      </c>
      <c r="J16" s="27" t="str">
        <f>IFERROR(__xludf.DUMMYFUNCTION("""COMPUTED_VALUE"""),"7 p.m. - 8 a.m.")</f>
        <v>7 p.m. - 8 a.m.</v>
      </c>
      <c r="K16" s="27" t="str">
        <f>IFERROR(__xludf.DUMMYFUNCTION("""COMPUTED_VALUE"""),"Beach")</f>
        <v>Beach</v>
      </c>
      <c r="M16" s="31" t="str">
        <f>IFERROR(__xludf.DUMMYFUNCTION("""COMPUTED_VALUE"""),"Pearl oyster")</f>
        <v>Pearl oyster</v>
      </c>
      <c r="N16" s="32">
        <f>IFERROR(__xludf.DUMMYFUNCTION("""COMPUTED_VALUE"""),2800.0)</f>
        <v>2800</v>
      </c>
      <c r="O16" s="33" t="str">
        <f>IFERROR(__xludf.DUMMYFUNCTION("""COMPUTED_VALUE"""),"All day")</f>
        <v>All day</v>
      </c>
      <c r="P16" s="6"/>
      <c r="Q16" s="6"/>
    </row>
    <row r="17">
      <c r="B17" s="27" t="str">
        <f>IFERROR(__xludf.DUMMYFUNCTION("""COMPUTED_VALUE"""),"Barreleye")</f>
        <v>Barreleye</v>
      </c>
      <c r="C17" s="27">
        <f>IFERROR(__xludf.DUMMYFUNCTION("""COMPUTED_VALUE"""),15000.0)</f>
        <v>15000</v>
      </c>
      <c r="D17" s="27" t="str">
        <f>IFERROR(__xludf.DUMMYFUNCTION("""COMPUTED_VALUE"""),"9 p.m. - 4 a.m.")</f>
        <v>9 p.m. - 4 a.m.</v>
      </c>
      <c r="E17" s="27" t="str">
        <f>IFERROR(__xludf.DUMMYFUNCTION("""COMPUTED_VALUE"""),"Sea")</f>
        <v>Sea</v>
      </c>
      <c r="F17" s="27" t="str">
        <f>IFERROR(__xludf.DUMMYFUNCTION("""COMPUTED_VALUE"""),"Small")</f>
        <v>Small</v>
      </c>
      <c r="G17" s="25"/>
      <c r="H17" s="27" t="str">
        <f>IFERROR(__xludf.DUMMYFUNCTION("""COMPUTED_VALUE"""),"Honeybee")</f>
        <v>Honeybee</v>
      </c>
      <c r="I17" s="27">
        <f>IFERROR(__xludf.DUMMYFUNCTION("""COMPUTED_VALUE"""),200.0)</f>
        <v>200</v>
      </c>
      <c r="J17" s="27" t="str">
        <f>IFERROR(__xludf.DUMMYFUNCTION("""COMPUTED_VALUE"""),"8 a.m. - 5 p.m.")</f>
        <v>8 a.m. - 5 p.m.</v>
      </c>
      <c r="K17" s="27" t="str">
        <f>IFERROR(__xludf.DUMMYFUNCTION("""COMPUTED_VALUE"""),"Flying near flowers")</f>
        <v>Flying near flowers</v>
      </c>
      <c r="L17" s="9"/>
      <c r="M17" s="34" t="str">
        <f>IFERROR(__xludf.DUMMYFUNCTION("""COMPUTED_VALUE"""),"Scallop")</f>
        <v>Scallop</v>
      </c>
      <c r="N17" s="35">
        <f>IFERROR(__xludf.DUMMYFUNCTION("""COMPUTED_VALUE"""),1200.0)</f>
        <v>1200</v>
      </c>
      <c r="O17" s="36" t="str">
        <f>IFERROR(__xludf.DUMMYFUNCTION("""COMPUTED_VALUE"""),"All day")</f>
        <v>All day</v>
      </c>
      <c r="P17" s="6"/>
      <c r="Q17" s="6"/>
    </row>
    <row r="18">
      <c r="B18" s="27" t="str">
        <f>IFERROR(__xludf.DUMMYFUNCTION("""COMPUTED_VALUE"""),"Black bass")</f>
        <v>Black bass</v>
      </c>
      <c r="C18" s="27">
        <f>IFERROR(__xludf.DUMMYFUNCTION("""COMPUTED_VALUE"""),400.0)</f>
        <v>400</v>
      </c>
      <c r="D18" s="27" t="str">
        <f>IFERROR(__xludf.DUMMYFUNCTION("""COMPUTED_VALUE"""),"All day")</f>
        <v>All day</v>
      </c>
      <c r="E18" s="27" t="str">
        <f>IFERROR(__xludf.DUMMYFUNCTION("""COMPUTED_VALUE"""),"River")</f>
        <v>River</v>
      </c>
      <c r="F18" s="27" t="str">
        <f>IFERROR(__xludf.DUMMYFUNCTION("""COMPUTED_VALUE"""),"Large")</f>
        <v>Large</v>
      </c>
      <c r="G18" s="25"/>
      <c r="H18" s="27" t="str">
        <f>IFERROR(__xludf.DUMMYFUNCTION("""COMPUTED_VALUE"""),"Ladybug")</f>
        <v>Ladybug</v>
      </c>
      <c r="I18" s="27">
        <f>IFERROR(__xludf.DUMMYFUNCTION("""COMPUTED_VALUE"""),200.0)</f>
        <v>200</v>
      </c>
      <c r="J18" s="27" t="str">
        <f>IFERROR(__xludf.DUMMYFUNCTION("""COMPUTED_VALUE"""),"8 a.m. - 5 p.m.")</f>
        <v>8 a.m. - 5 p.m.</v>
      </c>
      <c r="K18" s="27" t="str">
        <f>IFERROR(__xludf.DUMMYFUNCTION("""COMPUTED_VALUE"""),"On flowers")</f>
        <v>On flowers</v>
      </c>
      <c r="L18" s="9"/>
      <c r="M18" s="31" t="str">
        <f>IFERROR(__xludf.DUMMYFUNCTION("""COMPUTED_VALUE"""),"Sea anemone")</f>
        <v>Sea anemone</v>
      </c>
      <c r="N18" s="32">
        <f>IFERROR(__xludf.DUMMYFUNCTION("""COMPUTED_VALUE"""),500.0)</f>
        <v>500</v>
      </c>
      <c r="O18" s="33" t="str">
        <f>IFERROR(__xludf.DUMMYFUNCTION("""COMPUTED_VALUE"""),"All day")</f>
        <v>All day</v>
      </c>
      <c r="P18" s="6"/>
      <c r="Q18" s="6"/>
    </row>
    <row r="19">
      <c r="B19" s="27" t="str">
        <f>IFERROR(__xludf.DUMMYFUNCTION("""COMPUTED_VALUE"""),"Blue marlin")</f>
        <v>Blue marlin</v>
      </c>
      <c r="C19" s="27">
        <f>IFERROR(__xludf.DUMMYFUNCTION("""COMPUTED_VALUE"""),10000.0)</f>
        <v>10000</v>
      </c>
      <c r="D19" s="27" t="str">
        <f>IFERROR(__xludf.DUMMYFUNCTION("""COMPUTED_VALUE"""),"All day")</f>
        <v>All day</v>
      </c>
      <c r="E19" s="27" t="str">
        <f>IFERROR(__xludf.DUMMYFUNCTION("""COMPUTED_VALUE"""),"Pier")</f>
        <v>Pier</v>
      </c>
      <c r="F19" s="27" t="str">
        <f>IFERROR(__xludf.DUMMYFUNCTION("""COMPUTED_VALUE"""),"Largest")</f>
        <v>Largest</v>
      </c>
      <c r="G19" s="25"/>
      <c r="H19" s="27" t="str">
        <f>IFERROR(__xludf.DUMMYFUNCTION("""COMPUTED_VALUE"""),"Man-faced stink bug")</f>
        <v>Man-faced stink bug</v>
      </c>
      <c r="I19" s="27">
        <f>IFERROR(__xludf.DUMMYFUNCTION("""COMPUTED_VALUE"""),1000.0)</f>
        <v>1000</v>
      </c>
      <c r="J19" s="27" t="str">
        <f>IFERROR(__xludf.DUMMYFUNCTION("""COMPUTED_VALUE"""),"7 p.m. - 8 a.m.")</f>
        <v>7 p.m. - 8 a.m.</v>
      </c>
      <c r="K19" s="27" t="str">
        <f>IFERROR(__xludf.DUMMYFUNCTION("""COMPUTED_VALUE"""),"On flowers")</f>
        <v>On flowers</v>
      </c>
      <c r="L19" s="9"/>
      <c r="M19" s="34" t="str">
        <f>IFERROR(__xludf.DUMMYFUNCTION("""COMPUTED_VALUE"""),"Sea cucumber")</f>
        <v>Sea cucumber</v>
      </c>
      <c r="N19" s="35">
        <f>IFERROR(__xludf.DUMMYFUNCTION("""COMPUTED_VALUE"""),500.0)</f>
        <v>500</v>
      </c>
      <c r="O19" s="36" t="str">
        <f>IFERROR(__xludf.DUMMYFUNCTION("""COMPUTED_VALUE"""),"All day")</f>
        <v>All day</v>
      </c>
      <c r="P19" s="6"/>
      <c r="Q19" s="6"/>
    </row>
    <row r="20">
      <c r="B20" s="27" t="str">
        <f>IFERROR(__xludf.DUMMYFUNCTION("""COMPUTED_VALUE"""),"Bluegill")</f>
        <v>Bluegill</v>
      </c>
      <c r="C20" s="27">
        <f>IFERROR(__xludf.DUMMYFUNCTION("""COMPUTED_VALUE"""),180.0)</f>
        <v>180</v>
      </c>
      <c r="D20" s="27" t="str">
        <f>IFERROR(__xludf.DUMMYFUNCTION("""COMPUTED_VALUE"""),"9 a.m. - 4 p.m.")</f>
        <v>9 a.m. - 4 p.m.</v>
      </c>
      <c r="E20" s="27" t="str">
        <f>IFERROR(__xludf.DUMMYFUNCTION("""COMPUTED_VALUE"""),"River")</f>
        <v>River</v>
      </c>
      <c r="F20" s="27" t="str">
        <f>IFERROR(__xludf.DUMMYFUNCTION("""COMPUTED_VALUE"""),"Small")</f>
        <v>Small</v>
      </c>
      <c r="G20" s="25"/>
      <c r="H20" s="27" t="str">
        <f>IFERROR(__xludf.DUMMYFUNCTION("""COMPUTED_VALUE"""),"Mantis")</f>
        <v>Mantis</v>
      </c>
      <c r="I20" s="27">
        <f>IFERROR(__xludf.DUMMYFUNCTION("""COMPUTED_VALUE"""),430.0)</f>
        <v>430</v>
      </c>
      <c r="J20" s="27" t="str">
        <f>IFERROR(__xludf.DUMMYFUNCTION("""COMPUTED_VALUE"""),"8 a.m. - 5 p.m.")</f>
        <v>8 a.m. - 5 p.m.</v>
      </c>
      <c r="K20" s="27" t="str">
        <f>IFERROR(__xludf.DUMMYFUNCTION("""COMPUTED_VALUE"""),"On flowers")</f>
        <v>On flowers</v>
      </c>
      <c r="L20" s="9"/>
      <c r="M20" s="31" t="str">
        <f>IFERROR(__xludf.DUMMYFUNCTION("""COMPUTED_VALUE"""),"Sea slug")</f>
        <v>Sea slug</v>
      </c>
      <c r="N20" s="32">
        <f>IFERROR(__xludf.DUMMYFUNCTION("""COMPUTED_VALUE"""),600.0)</f>
        <v>600</v>
      </c>
      <c r="O20" s="33" t="str">
        <f>IFERROR(__xludf.DUMMYFUNCTION("""COMPUTED_VALUE"""),"All day")</f>
        <v>All day</v>
      </c>
      <c r="P20" s="6"/>
      <c r="Q20" s="6"/>
    </row>
    <row r="21">
      <c r="B21" s="27" t="str">
        <f>IFERROR(__xludf.DUMMYFUNCTION("""COMPUTED_VALUE"""),"Carp")</f>
        <v>Carp</v>
      </c>
      <c r="C21" s="27">
        <f>IFERROR(__xludf.DUMMYFUNCTION("""COMPUTED_VALUE"""),300.0)</f>
        <v>300</v>
      </c>
      <c r="D21" s="27" t="str">
        <f>IFERROR(__xludf.DUMMYFUNCTION("""COMPUTED_VALUE"""),"All day")</f>
        <v>All day</v>
      </c>
      <c r="E21" s="27" t="str">
        <f>IFERROR(__xludf.DUMMYFUNCTION("""COMPUTED_VALUE"""),"Pond")</f>
        <v>Pond</v>
      </c>
      <c r="F21" s="27" t="str">
        <f>IFERROR(__xludf.DUMMYFUNCTION("""COMPUTED_VALUE"""),"Large")</f>
        <v>Large</v>
      </c>
      <c r="G21" s="25"/>
      <c r="H21" s="27" t="str">
        <f>IFERROR(__xludf.DUMMYFUNCTION("""COMPUTED_VALUE"""),"Mole cricket")</f>
        <v>Mole cricket</v>
      </c>
      <c r="I21" s="27">
        <f>IFERROR(__xludf.DUMMYFUNCTION("""COMPUTED_VALUE"""),500.0)</f>
        <v>500</v>
      </c>
      <c r="J21" s="27" t="str">
        <f>IFERROR(__xludf.DUMMYFUNCTION("""COMPUTED_VALUE"""),"All day")</f>
        <v>All day</v>
      </c>
      <c r="K21" s="27" t="str">
        <f>IFERROR(__xludf.DUMMYFUNCTION("""COMPUTED_VALUE"""),"Underground")</f>
        <v>Underground</v>
      </c>
      <c r="L21" s="9"/>
      <c r="M21" s="34" t="str">
        <f>IFERROR(__xludf.DUMMYFUNCTION("""COMPUTED_VALUE"""),"Sea star")</f>
        <v>Sea star</v>
      </c>
      <c r="N21" s="35">
        <f>IFERROR(__xludf.DUMMYFUNCTION("""COMPUTED_VALUE"""),500.0)</f>
        <v>500</v>
      </c>
      <c r="O21" s="36" t="str">
        <f>IFERROR(__xludf.DUMMYFUNCTION("""COMPUTED_VALUE"""),"All day")</f>
        <v>All day</v>
      </c>
      <c r="P21" s="6"/>
      <c r="Q21" s="6"/>
    </row>
    <row r="22">
      <c r="B22" s="27" t="str">
        <f>IFERROR(__xludf.DUMMYFUNCTION("""COMPUTED_VALUE"""),"Char")</f>
        <v>Char</v>
      </c>
      <c r="C22" s="27">
        <f>IFERROR(__xludf.DUMMYFUNCTION("""COMPUTED_VALUE"""),3800.0)</f>
        <v>3800</v>
      </c>
      <c r="D22" s="27" t="str">
        <f>IFERROR(__xludf.DUMMYFUNCTION("""COMPUTED_VALUE"""),"4 p.m. - 9 a.m.")</f>
        <v>4 p.m. - 9 a.m.</v>
      </c>
      <c r="E22" s="27" t="str">
        <f>IFERROR(__xludf.DUMMYFUNCTION("""COMPUTED_VALUE"""),"River (Clifftop)")</f>
        <v>River (Clifftop)</v>
      </c>
      <c r="F22" s="27" t="str">
        <f>IFERROR(__xludf.DUMMYFUNCTION("""COMPUTED_VALUE"""),"Medium")</f>
        <v>Medium</v>
      </c>
      <c r="G22" s="25"/>
      <c r="H22" s="27" t="str">
        <f>IFERROR(__xludf.DUMMYFUNCTION("""COMPUTED_VALUE"""),"Moth")</f>
        <v>Moth</v>
      </c>
      <c r="I22" s="27">
        <f>IFERROR(__xludf.DUMMYFUNCTION("""COMPUTED_VALUE"""),130.0)</f>
        <v>130</v>
      </c>
      <c r="J22" s="27" t="str">
        <f>IFERROR(__xludf.DUMMYFUNCTION("""COMPUTED_VALUE"""),"7 p.m. - 4 a.m.")</f>
        <v>7 p.m. - 4 a.m.</v>
      </c>
      <c r="K22" s="27" t="str">
        <f>IFERROR(__xludf.DUMMYFUNCTION("""COMPUTED_VALUE"""),"Flying by light")</f>
        <v>Flying by light</v>
      </c>
      <c r="M22" s="31" t="str">
        <f>IFERROR(__xludf.DUMMYFUNCTION("""COMPUTED_VALUE"""),"Seaweed")</f>
        <v>Seaweed</v>
      </c>
      <c r="N22" s="32">
        <f>IFERROR(__xludf.DUMMYFUNCTION("""COMPUTED_VALUE"""),600.0)</f>
        <v>600</v>
      </c>
      <c r="O22" s="33" t="str">
        <f>IFERROR(__xludf.DUMMYFUNCTION("""COMPUTED_VALUE"""),"All day")</f>
        <v>All day</v>
      </c>
      <c r="P22" s="6"/>
      <c r="Q22" s="6"/>
    </row>
    <row r="23">
      <c r="B23" s="27" t="str">
        <f>IFERROR(__xludf.DUMMYFUNCTION("""COMPUTED_VALUE"""),"Cherry salmon")</f>
        <v>Cherry salmon</v>
      </c>
      <c r="C23" s="27">
        <f>IFERROR(__xludf.DUMMYFUNCTION("""COMPUTED_VALUE"""),1000.0)</f>
        <v>1000</v>
      </c>
      <c r="D23" s="27" t="str">
        <f>IFERROR(__xludf.DUMMYFUNCTION("""COMPUTED_VALUE"""),"4 p.m. - 9 a.m.")</f>
        <v>4 p.m. - 9 a.m.</v>
      </c>
      <c r="E23" s="27" t="str">
        <f>IFERROR(__xludf.DUMMYFUNCTION("""COMPUTED_VALUE"""),"River")</f>
        <v>River</v>
      </c>
      <c r="F23" s="27" t="str">
        <f>IFERROR(__xludf.DUMMYFUNCTION("""COMPUTED_VALUE"""),"Medium")</f>
        <v>Medium</v>
      </c>
      <c r="G23" s="25"/>
      <c r="H23" s="27" t="str">
        <f>IFERROR(__xludf.DUMMYFUNCTION("""COMPUTED_VALUE"""),"Orchid mantis")</f>
        <v>Orchid mantis</v>
      </c>
      <c r="I23" s="27">
        <f>IFERROR(__xludf.DUMMYFUNCTION("""COMPUTED_VALUE"""),2400.0)</f>
        <v>2400</v>
      </c>
      <c r="J23" s="27" t="str">
        <f>IFERROR(__xludf.DUMMYFUNCTION("""COMPUTED_VALUE"""),"8 a.m. - 5 p.m.")</f>
        <v>8 a.m. - 5 p.m.</v>
      </c>
      <c r="K23" s="27" t="str">
        <f>IFERROR(__xludf.DUMMYFUNCTION("""COMPUTED_VALUE"""),"On white flowers")</f>
        <v>On white flowers</v>
      </c>
      <c r="M23" s="34" t="str">
        <f>IFERROR(__xludf.DUMMYFUNCTION("""COMPUTED_VALUE"""),"Snow crab")</f>
        <v>Snow crab</v>
      </c>
      <c r="N23" s="35">
        <f>IFERROR(__xludf.DUMMYFUNCTION("""COMPUTED_VALUE"""),6000.0)</f>
        <v>6000</v>
      </c>
      <c r="O23" s="36" t="str">
        <f>IFERROR(__xludf.DUMMYFUNCTION("""COMPUTED_VALUE"""),"All day")</f>
        <v>All day</v>
      </c>
      <c r="P23" s="6"/>
      <c r="Q23" s="6"/>
    </row>
    <row r="24">
      <c r="B24" s="27" t="str">
        <f>IFERROR(__xludf.DUMMYFUNCTION("""COMPUTED_VALUE"""),"Coelacanth")</f>
        <v>Coelacanth</v>
      </c>
      <c r="C24" s="27">
        <f>IFERROR(__xludf.DUMMYFUNCTION("""COMPUTED_VALUE"""),15000.0)</f>
        <v>15000</v>
      </c>
      <c r="D24" s="27" t="str">
        <f>IFERROR(__xludf.DUMMYFUNCTION("""COMPUTED_VALUE"""),"All day")</f>
        <v>All day</v>
      </c>
      <c r="E24" s="27" t="str">
        <f>IFERROR(__xludf.DUMMYFUNCTION("""COMPUTED_VALUE"""),"Sea (rainy days)")</f>
        <v>Sea (rainy days)</v>
      </c>
      <c r="F24" s="27" t="str">
        <f>IFERROR(__xludf.DUMMYFUNCTION("""COMPUTED_VALUE"""),"Largest")</f>
        <v>Largest</v>
      </c>
      <c r="G24" s="25"/>
      <c r="H24" s="27" t="str">
        <f>IFERROR(__xludf.DUMMYFUNCTION("""COMPUTED_VALUE"""),"Paper kite butterfly")</f>
        <v>Paper kite butterfly</v>
      </c>
      <c r="I24" s="27">
        <f>IFERROR(__xludf.DUMMYFUNCTION("""COMPUTED_VALUE"""),1000.0)</f>
        <v>1000</v>
      </c>
      <c r="J24" s="27" t="str">
        <f>IFERROR(__xludf.DUMMYFUNCTION("""COMPUTED_VALUE"""),"8 a.m. - 7 p.m.")</f>
        <v>8 a.m. - 7 p.m.</v>
      </c>
      <c r="K24" s="27" t="str">
        <f>IFERROR(__xludf.DUMMYFUNCTION("""COMPUTED_VALUE"""),"Flying")</f>
        <v>Flying</v>
      </c>
      <c r="M24" s="31" t="str">
        <f>IFERROR(__xludf.DUMMYFUNCTION("""COMPUTED_VALUE"""),"Spider crab")</f>
        <v>Spider crab</v>
      </c>
      <c r="N24" s="32">
        <f>IFERROR(__xludf.DUMMYFUNCTION("""COMPUTED_VALUE"""),12000.0)</f>
        <v>12000</v>
      </c>
      <c r="O24" s="33" t="str">
        <f>IFERROR(__xludf.DUMMYFUNCTION("""COMPUTED_VALUE"""),"All day")</f>
        <v>All day</v>
      </c>
      <c r="P24" s="6"/>
      <c r="Q24" s="6"/>
    </row>
    <row r="25">
      <c r="B25" s="27" t="str">
        <f>IFERROR(__xludf.DUMMYFUNCTION("""COMPUTED_VALUE"""),"Crucian carp")</f>
        <v>Crucian carp</v>
      </c>
      <c r="C25" s="27">
        <f>IFERROR(__xludf.DUMMYFUNCTION("""COMPUTED_VALUE"""),160.0)</f>
        <v>160</v>
      </c>
      <c r="D25" s="27" t="str">
        <f>IFERROR(__xludf.DUMMYFUNCTION("""COMPUTED_VALUE"""),"All day")</f>
        <v>All day</v>
      </c>
      <c r="E25" s="27" t="str">
        <f>IFERROR(__xludf.DUMMYFUNCTION("""COMPUTED_VALUE"""),"River")</f>
        <v>River</v>
      </c>
      <c r="F25" s="27" t="str">
        <f>IFERROR(__xludf.DUMMYFUNCTION("""COMPUTED_VALUE"""),"Small")</f>
        <v>Small</v>
      </c>
      <c r="G25" s="25"/>
      <c r="H25" s="27" t="str">
        <f>IFERROR(__xludf.DUMMYFUNCTION("""COMPUTED_VALUE"""),"Peacock butterfly")</f>
        <v>Peacock butterfly</v>
      </c>
      <c r="I25" s="27">
        <f>IFERROR(__xludf.DUMMYFUNCTION("""COMPUTED_VALUE"""),2500.0)</f>
        <v>2500</v>
      </c>
      <c r="J25" s="27" t="str">
        <f>IFERROR(__xludf.DUMMYFUNCTION("""COMPUTED_VALUE"""),"4 a.m. - 7 p.m.")</f>
        <v>4 a.m. - 7 p.m.</v>
      </c>
      <c r="K25" s="27" t="str">
        <f>IFERROR(__xludf.DUMMYFUNCTION("""COMPUTED_VALUE"""),"Flying by hybrid flowers")</f>
        <v>Flying by hybrid flowers</v>
      </c>
      <c r="M25" s="34" t="str">
        <f>IFERROR(__xludf.DUMMYFUNCTION("""COMPUTED_VALUE"""),"Turban shell")</f>
        <v>Turban shell</v>
      </c>
      <c r="N25" s="35">
        <f>IFERROR(__xludf.DUMMYFUNCTION("""COMPUTED_VALUE"""),1000.0)</f>
        <v>1000</v>
      </c>
      <c r="O25" s="36" t="str">
        <f>IFERROR(__xludf.DUMMYFUNCTION("""COMPUTED_VALUE"""),"All day")</f>
        <v>All day</v>
      </c>
      <c r="P25" s="6"/>
      <c r="Q25" s="6"/>
    </row>
    <row r="26">
      <c r="B26" s="27" t="str">
        <f>IFERROR(__xludf.DUMMYFUNCTION("""COMPUTED_VALUE"""),"Dab")</f>
        <v>Dab</v>
      </c>
      <c r="C26" s="27">
        <f>IFERROR(__xludf.DUMMYFUNCTION("""COMPUTED_VALUE"""),300.0)</f>
        <v>300</v>
      </c>
      <c r="D26" s="27" t="str">
        <f>IFERROR(__xludf.DUMMYFUNCTION("""COMPUTED_VALUE"""),"All day")</f>
        <v>All day</v>
      </c>
      <c r="E26" s="27" t="str">
        <f>IFERROR(__xludf.DUMMYFUNCTION("""COMPUTED_VALUE"""),"Sea")</f>
        <v>Sea</v>
      </c>
      <c r="F26" s="27" t="str">
        <f>IFERROR(__xludf.DUMMYFUNCTION("""COMPUTED_VALUE"""),"Medium")</f>
        <v>Medium</v>
      </c>
      <c r="G26" s="25"/>
      <c r="H26" s="27" t="str">
        <f>IFERROR(__xludf.DUMMYFUNCTION("""COMPUTED_VALUE"""),"Pill bug")</f>
        <v>Pill bug</v>
      </c>
      <c r="I26" s="27">
        <f>IFERROR(__xludf.DUMMYFUNCTION("""COMPUTED_VALUE"""),250.0)</f>
        <v>250</v>
      </c>
      <c r="J26" s="27" t="str">
        <f>IFERROR(__xludf.DUMMYFUNCTION("""COMPUTED_VALUE"""),"11 p.m. - 4 p.m.")</f>
        <v>11 p.m. - 4 p.m.</v>
      </c>
      <c r="K26" s="27" t="str">
        <f>IFERROR(__xludf.DUMMYFUNCTION("""COMPUTED_VALUE"""),"Hit rocks")</f>
        <v>Hit rocks</v>
      </c>
      <c r="M26" s="31" t="str">
        <f>IFERROR(__xludf.DUMMYFUNCTION("""COMPUTED_VALUE"""),"Umbrella octopus")</f>
        <v>Umbrella octopus</v>
      </c>
      <c r="N26" s="32">
        <f>IFERROR(__xludf.DUMMYFUNCTION("""COMPUTED_VALUE"""),6000.0)</f>
        <v>6000</v>
      </c>
      <c r="O26" s="33" t="str">
        <f>IFERROR(__xludf.DUMMYFUNCTION("""COMPUTED_VALUE"""),"All day")</f>
        <v>All day</v>
      </c>
      <c r="P26" s="6"/>
      <c r="Q26" s="6"/>
    </row>
    <row r="27">
      <c r="B27" s="27" t="str">
        <f>IFERROR(__xludf.DUMMYFUNCTION("""COMPUTED_VALUE"""),"Dace")</f>
        <v>Dace</v>
      </c>
      <c r="C27" s="27">
        <f>IFERROR(__xludf.DUMMYFUNCTION("""COMPUTED_VALUE"""),240.0)</f>
        <v>240</v>
      </c>
      <c r="D27" s="27" t="str">
        <f>IFERROR(__xludf.DUMMYFUNCTION("""COMPUTED_VALUE"""),"4 p.m. - 9 a.m.")</f>
        <v>4 p.m. - 9 a.m.</v>
      </c>
      <c r="E27" s="27" t="str">
        <f>IFERROR(__xludf.DUMMYFUNCTION("""COMPUTED_VALUE"""),"River")</f>
        <v>River</v>
      </c>
      <c r="F27" s="27" t="str">
        <f>IFERROR(__xludf.DUMMYFUNCTION("""COMPUTED_VALUE"""),"Medium")</f>
        <v>Medium</v>
      </c>
      <c r="G27" s="25"/>
      <c r="H27" s="27" t="str">
        <f>IFERROR(__xludf.DUMMYFUNCTION("""COMPUTED_VALUE"""),"Snail")</f>
        <v>Snail</v>
      </c>
      <c r="I27" s="27">
        <f>IFERROR(__xludf.DUMMYFUNCTION("""COMPUTED_VALUE"""),250.0)</f>
        <v>250</v>
      </c>
      <c r="J27" s="27" t="str">
        <f>IFERROR(__xludf.DUMMYFUNCTION("""COMPUTED_VALUE"""),"All day")</f>
        <v>All day</v>
      </c>
      <c r="K27" s="27" t="str">
        <f>IFERROR(__xludf.DUMMYFUNCTION("""COMPUTED_VALUE"""),"On rocks (raining)")</f>
        <v>On rocks (raining)</v>
      </c>
      <c r="M27" s="34" t="str">
        <f>IFERROR(__xludf.DUMMYFUNCTION("""COMPUTED_VALUE"""),"Whelk")</f>
        <v>Whelk</v>
      </c>
      <c r="N27" s="35">
        <f>IFERROR(__xludf.DUMMYFUNCTION("""COMPUTED_VALUE"""),1000.0)</f>
        <v>1000</v>
      </c>
      <c r="O27" s="36" t="str">
        <f>IFERROR(__xludf.DUMMYFUNCTION("""COMPUTED_VALUE"""),"All day")</f>
        <v>All day</v>
      </c>
      <c r="P27" s="6"/>
      <c r="Q27" s="6"/>
    </row>
    <row r="28">
      <c r="B28" s="27" t="str">
        <f>IFERROR(__xludf.DUMMYFUNCTION("""COMPUTED_VALUE"""),"Freshwater goby")</f>
        <v>Freshwater goby</v>
      </c>
      <c r="C28" s="27">
        <f>IFERROR(__xludf.DUMMYFUNCTION("""COMPUTED_VALUE"""),400.0)</f>
        <v>400</v>
      </c>
      <c r="D28" s="27" t="str">
        <f>IFERROR(__xludf.DUMMYFUNCTION("""COMPUTED_VALUE"""),"4 p.m. - 9 a.m.")</f>
        <v>4 p.m. - 9 a.m.</v>
      </c>
      <c r="E28" s="27" t="str">
        <f>IFERROR(__xludf.DUMMYFUNCTION("""COMPUTED_VALUE"""),"River")</f>
        <v>River</v>
      </c>
      <c r="F28" s="27" t="str">
        <f>IFERROR(__xludf.DUMMYFUNCTION("""COMPUTED_VALUE"""),"Small")</f>
        <v>Small</v>
      </c>
      <c r="G28" s="25"/>
      <c r="H28" s="27" t="str">
        <f>IFERROR(__xludf.DUMMYFUNCTION("""COMPUTED_VALUE"""),"Spider")</f>
        <v>Spider</v>
      </c>
      <c r="I28" s="27">
        <f>IFERROR(__xludf.DUMMYFUNCTION("""COMPUTED_VALUE"""),480.0)</f>
        <v>480</v>
      </c>
      <c r="J28" s="27" t="str">
        <f>IFERROR(__xludf.DUMMYFUNCTION("""COMPUTED_VALUE"""),"7 p.m. - 8 a.m.")</f>
        <v>7 p.m. - 8 a.m.</v>
      </c>
      <c r="K28" s="27" t="str">
        <f>IFERROR(__xludf.DUMMYFUNCTION("""COMPUTED_VALUE"""),"Falls from shaking trees")</f>
        <v>Falls from shaking trees</v>
      </c>
      <c r="M28" s="31"/>
      <c r="N28" s="32"/>
      <c r="O28" s="33"/>
      <c r="P28" s="6"/>
      <c r="Q28" s="6"/>
    </row>
    <row r="29">
      <c r="B29" s="27" t="str">
        <f>IFERROR(__xludf.DUMMYFUNCTION("""COMPUTED_VALUE"""),"Golden trout")</f>
        <v>Golden trout</v>
      </c>
      <c r="C29" s="27">
        <f>IFERROR(__xludf.DUMMYFUNCTION("""COMPUTED_VALUE"""),15000.0)</f>
        <v>15000</v>
      </c>
      <c r="D29" s="27" t="str">
        <f>IFERROR(__xludf.DUMMYFUNCTION("""COMPUTED_VALUE"""),"4 p.m. - 9 a.m.")</f>
        <v>4 p.m. - 9 a.m.</v>
      </c>
      <c r="E29" s="27" t="str">
        <f>IFERROR(__xludf.DUMMYFUNCTION("""COMPUTED_VALUE"""),"River (Clifftop)")</f>
        <v>River (Clifftop)</v>
      </c>
      <c r="F29" s="27" t="str">
        <f>IFERROR(__xludf.DUMMYFUNCTION("""COMPUTED_VALUE"""),"Medium")</f>
        <v>Medium</v>
      </c>
      <c r="G29" s="25"/>
      <c r="H29" s="27" t="str">
        <f>IFERROR(__xludf.DUMMYFUNCTION("""COMPUTED_VALUE"""),"Stinkbug")</f>
        <v>Stinkbug</v>
      </c>
      <c r="I29" s="27">
        <f>IFERROR(__xludf.DUMMYFUNCTION("""COMPUTED_VALUE"""),120.0)</f>
        <v>120</v>
      </c>
      <c r="J29" s="27" t="str">
        <f>IFERROR(__xludf.DUMMYFUNCTION("""COMPUTED_VALUE"""),"All day")</f>
        <v>All day</v>
      </c>
      <c r="K29" s="27" t="str">
        <f>IFERROR(__xludf.DUMMYFUNCTION("""COMPUTED_VALUE"""),"On flowers")</f>
        <v>On flowers</v>
      </c>
      <c r="M29" s="34"/>
      <c r="N29" s="35"/>
      <c r="O29" s="36"/>
      <c r="P29" s="6"/>
      <c r="Q29" s="6"/>
    </row>
    <row r="30">
      <c r="B30" s="27" t="str">
        <f>IFERROR(__xludf.DUMMYFUNCTION("""COMPUTED_VALUE"""),"Goldfish")</f>
        <v>Goldfish</v>
      </c>
      <c r="C30" s="27">
        <f>IFERROR(__xludf.DUMMYFUNCTION("""COMPUTED_VALUE"""),1300.0)</f>
        <v>1300</v>
      </c>
      <c r="D30" s="27" t="str">
        <f>IFERROR(__xludf.DUMMYFUNCTION("""COMPUTED_VALUE"""),"All day")</f>
        <v>All day</v>
      </c>
      <c r="E30" s="27" t="str">
        <f>IFERROR(__xludf.DUMMYFUNCTION("""COMPUTED_VALUE"""),"Pond")</f>
        <v>Pond</v>
      </c>
      <c r="F30" s="27" t="str">
        <f>IFERROR(__xludf.DUMMYFUNCTION("""COMPUTED_VALUE"""),"Smallest")</f>
        <v>Smallest</v>
      </c>
      <c r="G30" s="25"/>
      <c r="H30" s="27" t="str">
        <f>IFERROR(__xludf.DUMMYFUNCTION("""COMPUTED_VALUE"""),"Tarantula")</f>
        <v>Tarantula</v>
      </c>
      <c r="I30" s="27">
        <f>IFERROR(__xludf.DUMMYFUNCTION("""COMPUTED_VALUE"""),8000.0)</f>
        <v>8000</v>
      </c>
      <c r="J30" s="27" t="str">
        <f>IFERROR(__xludf.DUMMYFUNCTION("""COMPUTED_VALUE"""),"7 p.m. - 4 a.m.")</f>
        <v>7 p.m. - 4 a.m.</v>
      </c>
      <c r="K30" s="27" t="str">
        <f>IFERROR(__xludf.DUMMYFUNCTION("""COMPUTED_VALUE"""),"On ground")</f>
        <v>On ground</v>
      </c>
      <c r="M30" s="31"/>
      <c r="N30" s="32"/>
      <c r="O30" s="33"/>
      <c r="P30" s="6"/>
      <c r="Q30" s="6"/>
    </row>
    <row r="31">
      <c r="B31" s="27" t="str">
        <f>IFERROR(__xludf.DUMMYFUNCTION("""COMPUTED_VALUE"""),"Horse mackerel")</f>
        <v>Horse mackerel</v>
      </c>
      <c r="C31" s="27">
        <f>IFERROR(__xludf.DUMMYFUNCTION("""COMPUTED_VALUE"""),150.0)</f>
        <v>150</v>
      </c>
      <c r="D31" s="27" t="str">
        <f>IFERROR(__xludf.DUMMYFUNCTION("""COMPUTED_VALUE"""),"All day")</f>
        <v>All day</v>
      </c>
      <c r="E31" s="27" t="str">
        <f>IFERROR(__xludf.DUMMYFUNCTION("""COMPUTED_VALUE"""),"Sea")</f>
        <v>Sea</v>
      </c>
      <c r="F31" s="27" t="str">
        <f>IFERROR(__xludf.DUMMYFUNCTION("""COMPUTED_VALUE"""),"Small")</f>
        <v>Small</v>
      </c>
      <c r="G31" s="25"/>
      <c r="H31" s="27" t="str">
        <f>IFERROR(__xludf.DUMMYFUNCTION("""COMPUTED_VALUE"""),"Tiger beetle")</f>
        <v>Tiger beetle</v>
      </c>
      <c r="I31" s="27">
        <f>IFERROR(__xludf.DUMMYFUNCTION("""COMPUTED_VALUE"""),1500.0)</f>
        <v>1500</v>
      </c>
      <c r="J31" s="27" t="str">
        <f>IFERROR(__xludf.DUMMYFUNCTION("""COMPUTED_VALUE"""),"All day")</f>
        <v>All day</v>
      </c>
      <c r="K31" s="27" t="str">
        <f>IFERROR(__xludf.DUMMYFUNCTION("""COMPUTED_VALUE"""),"On ground")</f>
        <v>On ground</v>
      </c>
      <c r="M31" s="34"/>
      <c r="N31" s="35"/>
      <c r="O31" s="36"/>
      <c r="P31" s="6"/>
      <c r="Q31" s="6"/>
    </row>
    <row r="32">
      <c r="B32" s="38" t="str">
        <f>IFERROR(__xludf.DUMMYFUNCTION("""COMPUTED_VALUE"""),"Koi")</f>
        <v>Koi</v>
      </c>
      <c r="C32" s="38">
        <f>IFERROR(__xludf.DUMMYFUNCTION("""COMPUTED_VALUE"""),4000.0)</f>
        <v>4000</v>
      </c>
      <c r="D32" s="38" t="str">
        <f>IFERROR(__xludf.DUMMYFUNCTION("""COMPUTED_VALUE"""),"4 p.m. - 9 a.m.")</f>
        <v>4 p.m. - 9 a.m.</v>
      </c>
      <c r="E32" s="38" t="str">
        <f>IFERROR(__xludf.DUMMYFUNCTION("""COMPUTED_VALUE"""),"Pond")</f>
        <v>Pond</v>
      </c>
      <c r="F32" s="38" t="str">
        <f>IFERROR(__xludf.DUMMYFUNCTION("""COMPUTED_VALUE"""),"Large")</f>
        <v>Large</v>
      </c>
      <c r="H32" s="38" t="str">
        <f>IFERROR(__xludf.DUMMYFUNCTION("""COMPUTED_VALUE"""),"Tiger butterfly")</f>
        <v>Tiger butterfly</v>
      </c>
      <c r="I32" s="38">
        <f>IFERROR(__xludf.DUMMYFUNCTION("""COMPUTED_VALUE"""),240.0)</f>
        <v>240</v>
      </c>
      <c r="J32" s="38" t="str">
        <f>IFERROR(__xludf.DUMMYFUNCTION("""COMPUTED_VALUE"""),"4 a.m. - 7 p.m.")</f>
        <v>4 a.m. - 7 p.m.</v>
      </c>
      <c r="K32" s="38" t="str">
        <f>IFERROR(__xludf.DUMMYFUNCTION("""COMPUTED_VALUE"""),"Flying")</f>
        <v>Flying</v>
      </c>
      <c r="M32" s="31"/>
      <c r="N32" s="32"/>
      <c r="O32" s="33"/>
      <c r="P32" s="6"/>
      <c r="Q32" s="6"/>
    </row>
    <row r="33">
      <c r="B33" s="38" t="str">
        <f>IFERROR(__xludf.DUMMYFUNCTION("""COMPUTED_VALUE"""),"Loach")</f>
        <v>Loach</v>
      </c>
      <c r="C33" s="38">
        <f>IFERROR(__xludf.DUMMYFUNCTION("""COMPUTED_VALUE"""),400.0)</f>
        <v>400</v>
      </c>
      <c r="D33" s="38" t="str">
        <f>IFERROR(__xludf.DUMMYFUNCTION("""COMPUTED_VALUE"""),"All day")</f>
        <v>All day</v>
      </c>
      <c r="E33" s="38" t="str">
        <f>IFERROR(__xludf.DUMMYFUNCTION("""COMPUTED_VALUE"""),"River")</f>
        <v>River</v>
      </c>
      <c r="F33" s="38" t="str">
        <f>IFERROR(__xludf.DUMMYFUNCTION("""COMPUTED_VALUE"""),"Small")</f>
        <v>Small</v>
      </c>
      <c r="H33" s="38" t="str">
        <f>IFERROR(__xludf.DUMMYFUNCTION("""COMPUTED_VALUE"""),"Wasp")</f>
        <v>Wasp</v>
      </c>
      <c r="I33" s="38">
        <f>IFERROR(__xludf.DUMMYFUNCTION("""COMPUTED_VALUE"""),2500.0)</f>
        <v>2500</v>
      </c>
      <c r="J33" s="38" t="str">
        <f>IFERROR(__xludf.DUMMYFUNCTION("""COMPUTED_VALUE"""),"All day")</f>
        <v>All day</v>
      </c>
      <c r="K33" s="38" t="str">
        <f>IFERROR(__xludf.DUMMYFUNCTION("""COMPUTED_VALUE"""),"Falls from shaking trees")</f>
        <v>Falls from shaking trees</v>
      </c>
      <c r="M33" s="34"/>
      <c r="N33" s="39"/>
      <c r="O33" s="36"/>
      <c r="P33" s="6"/>
      <c r="Q33" s="6"/>
    </row>
    <row r="34">
      <c r="B34" s="38" t="str">
        <f>IFERROR(__xludf.DUMMYFUNCTION("""COMPUTED_VALUE"""),"Oarfish")</f>
        <v>Oarfish</v>
      </c>
      <c r="C34" s="38">
        <f>IFERROR(__xludf.DUMMYFUNCTION("""COMPUTED_VALUE"""),9000.0)</f>
        <v>9000</v>
      </c>
      <c r="D34" s="38" t="str">
        <f>IFERROR(__xludf.DUMMYFUNCTION("""COMPUTED_VALUE"""),"All day")</f>
        <v>All day</v>
      </c>
      <c r="E34" s="38" t="str">
        <f>IFERROR(__xludf.DUMMYFUNCTION("""COMPUTED_VALUE"""),"Sea")</f>
        <v>Sea</v>
      </c>
      <c r="F34" s="38" t="str">
        <f>IFERROR(__xludf.DUMMYFUNCTION("""COMPUTED_VALUE"""),"Largest")</f>
        <v>Largest</v>
      </c>
      <c r="H34" s="38" t="str">
        <f>IFERROR(__xludf.DUMMYFUNCTION("""COMPUTED_VALUE"""),"Wharf roach")</f>
        <v>Wharf roach</v>
      </c>
      <c r="I34" s="38">
        <f>IFERROR(__xludf.DUMMYFUNCTION("""COMPUTED_VALUE"""),200.0)</f>
        <v>200</v>
      </c>
      <c r="J34" s="38" t="str">
        <f>IFERROR(__xludf.DUMMYFUNCTION("""COMPUTED_VALUE"""),"All day")</f>
        <v>All day</v>
      </c>
      <c r="K34" s="38" t="str">
        <f>IFERROR(__xludf.DUMMYFUNCTION("""COMPUTED_VALUE"""),"On rocks at beach")</f>
        <v>On rocks at beach</v>
      </c>
      <c r="M34" s="31"/>
      <c r="N34" s="40"/>
      <c r="O34" s="33"/>
      <c r="P34" s="6"/>
      <c r="Q34" s="6"/>
    </row>
    <row r="35">
      <c r="B35" s="38" t="str">
        <f>IFERROR(__xludf.DUMMYFUNCTION("""COMPUTED_VALUE"""),"Olive flounder")</f>
        <v>Olive flounder</v>
      </c>
      <c r="C35" s="38">
        <f>IFERROR(__xludf.DUMMYFUNCTION("""COMPUTED_VALUE"""),800.0)</f>
        <v>800</v>
      </c>
      <c r="D35" s="38" t="str">
        <f>IFERROR(__xludf.DUMMYFUNCTION("""COMPUTED_VALUE"""),"All day")</f>
        <v>All day</v>
      </c>
      <c r="E35" s="38" t="str">
        <f>IFERROR(__xludf.DUMMYFUNCTION("""COMPUTED_VALUE"""),"Sea")</f>
        <v>Sea</v>
      </c>
      <c r="F35" s="38" t="str">
        <f>IFERROR(__xludf.DUMMYFUNCTION("""COMPUTED_VALUE"""),"Large")</f>
        <v>Large</v>
      </c>
      <c r="H35" s="38" t="str">
        <f>IFERROR(__xludf.DUMMYFUNCTION("""COMPUTED_VALUE"""),"Yellow butterfly")</f>
        <v>Yellow butterfly</v>
      </c>
      <c r="I35" s="38">
        <f>IFERROR(__xludf.DUMMYFUNCTION("""COMPUTED_VALUE"""),160.0)</f>
        <v>160</v>
      </c>
      <c r="J35" s="38" t="str">
        <f>IFERROR(__xludf.DUMMYFUNCTION("""COMPUTED_VALUE"""),"4 a.m. - 7 p.m.")</f>
        <v>4 a.m. - 7 p.m.</v>
      </c>
      <c r="K35" s="38" t="str">
        <f>IFERROR(__xludf.DUMMYFUNCTION("""COMPUTED_VALUE"""),"Flying")</f>
        <v>Flying</v>
      </c>
      <c r="M35" s="34"/>
      <c r="N35" s="39"/>
      <c r="O35" s="36"/>
      <c r="P35" s="6"/>
      <c r="Q35" s="6"/>
    </row>
    <row r="36">
      <c r="B36" s="38" t="str">
        <f>IFERROR(__xludf.DUMMYFUNCTION("""COMPUTED_VALUE"""),"Pale chub")</f>
        <v>Pale chub</v>
      </c>
      <c r="C36" s="38">
        <f>IFERROR(__xludf.DUMMYFUNCTION("""COMPUTED_VALUE"""),200.0)</f>
        <v>200</v>
      </c>
      <c r="D36" s="38" t="str">
        <f>IFERROR(__xludf.DUMMYFUNCTION("""COMPUTED_VALUE"""),"9 a.m. - 4 p.m.")</f>
        <v>9 a.m. - 4 p.m.</v>
      </c>
      <c r="E36" s="38" t="str">
        <f>IFERROR(__xludf.DUMMYFUNCTION("""COMPUTED_VALUE"""),"River")</f>
        <v>River</v>
      </c>
      <c r="F36" s="38" t="str">
        <f>IFERROR(__xludf.DUMMYFUNCTION("""COMPUTED_VALUE"""),"Smallest")</f>
        <v>Smallest</v>
      </c>
      <c r="H36" s="38"/>
      <c r="I36" s="38"/>
      <c r="J36" s="38"/>
      <c r="K36" s="38"/>
      <c r="M36" s="31"/>
      <c r="N36" s="40"/>
      <c r="O36" s="33"/>
      <c r="P36" s="6"/>
      <c r="Q36" s="6"/>
    </row>
    <row r="37">
      <c r="B37" s="38" t="str">
        <f>IFERROR(__xludf.DUMMYFUNCTION("""COMPUTED_VALUE"""),"Pop-eyed goldfish")</f>
        <v>Pop-eyed goldfish</v>
      </c>
      <c r="C37" s="38">
        <f>IFERROR(__xludf.DUMMYFUNCTION("""COMPUTED_VALUE"""),1300.0)</f>
        <v>1300</v>
      </c>
      <c r="D37" s="38" t="str">
        <f>IFERROR(__xludf.DUMMYFUNCTION("""COMPUTED_VALUE"""),"9 a.m. - 4 p.m.")</f>
        <v>9 a.m. - 4 p.m.</v>
      </c>
      <c r="E37" s="38" t="str">
        <f>IFERROR(__xludf.DUMMYFUNCTION("""COMPUTED_VALUE"""),"Pond")</f>
        <v>Pond</v>
      </c>
      <c r="F37" s="38" t="str">
        <f>IFERROR(__xludf.DUMMYFUNCTION("""COMPUTED_VALUE"""),"Smallest")</f>
        <v>Smallest</v>
      </c>
      <c r="H37" s="38"/>
      <c r="I37" s="38"/>
      <c r="J37" s="38"/>
      <c r="K37" s="38"/>
      <c r="M37" s="34"/>
      <c r="N37" s="39"/>
      <c r="O37" s="36"/>
      <c r="P37" s="6"/>
      <c r="Q37" s="6"/>
    </row>
    <row r="38">
      <c r="B38" s="38" t="str">
        <f>IFERROR(__xludf.DUMMYFUNCTION("""COMPUTED_VALUE"""),"Ranchu goldfish")</f>
        <v>Ranchu goldfish</v>
      </c>
      <c r="C38" s="38">
        <f>IFERROR(__xludf.DUMMYFUNCTION("""COMPUTED_VALUE"""),4500.0)</f>
        <v>4500</v>
      </c>
      <c r="D38" s="38" t="str">
        <f>IFERROR(__xludf.DUMMYFUNCTION("""COMPUTED_VALUE"""),"9 a.m. - 4 p.m.")</f>
        <v>9 a.m. - 4 p.m.</v>
      </c>
      <c r="E38" s="38" t="str">
        <f>IFERROR(__xludf.DUMMYFUNCTION("""COMPUTED_VALUE"""),"Pond")</f>
        <v>Pond</v>
      </c>
      <c r="F38" s="38" t="str">
        <f>IFERROR(__xludf.DUMMYFUNCTION("""COMPUTED_VALUE"""),"Small")</f>
        <v>Small</v>
      </c>
      <c r="H38" s="38"/>
      <c r="I38" s="38"/>
      <c r="J38" s="38"/>
      <c r="K38" s="38"/>
      <c r="M38" s="31"/>
      <c r="N38" s="40"/>
      <c r="O38" s="33"/>
      <c r="P38" s="6"/>
      <c r="Q38" s="6"/>
    </row>
    <row r="39">
      <c r="B39" s="38" t="str">
        <f>IFERROR(__xludf.DUMMYFUNCTION("""COMPUTED_VALUE"""),"Red Snapper")</f>
        <v>Red Snapper</v>
      </c>
      <c r="C39" s="38">
        <f>IFERROR(__xludf.DUMMYFUNCTION("""COMPUTED_VALUE"""),3000.0)</f>
        <v>3000</v>
      </c>
      <c r="D39" s="38" t="str">
        <f>IFERROR(__xludf.DUMMYFUNCTION("""COMPUTED_VALUE"""),"All day")</f>
        <v>All day</v>
      </c>
      <c r="E39" s="38" t="str">
        <f>IFERROR(__xludf.DUMMYFUNCTION("""COMPUTED_VALUE"""),"Sea")</f>
        <v>Sea</v>
      </c>
      <c r="F39" s="38" t="str">
        <f>IFERROR(__xludf.DUMMYFUNCTION("""COMPUTED_VALUE"""),"Large")</f>
        <v>Large</v>
      </c>
      <c r="H39" s="38"/>
      <c r="I39" s="38"/>
      <c r="J39" s="38"/>
      <c r="K39" s="38"/>
      <c r="M39" s="34"/>
      <c r="N39" s="39"/>
      <c r="O39" s="36"/>
      <c r="P39" s="6"/>
      <c r="Q39" s="6"/>
    </row>
    <row r="40">
      <c r="B40" s="38" t="str">
        <f>IFERROR(__xludf.DUMMYFUNCTION("""COMPUTED_VALUE"""),"Sea bass")</f>
        <v>Sea bass</v>
      </c>
      <c r="C40" s="38">
        <f>IFERROR(__xludf.DUMMYFUNCTION("""COMPUTED_VALUE"""),400.0)</f>
        <v>400</v>
      </c>
      <c r="D40" s="38" t="str">
        <f>IFERROR(__xludf.DUMMYFUNCTION("""COMPUTED_VALUE"""),"All day")</f>
        <v>All day</v>
      </c>
      <c r="E40" s="38" t="str">
        <f>IFERROR(__xludf.DUMMYFUNCTION("""COMPUTED_VALUE"""),"Sea")</f>
        <v>Sea</v>
      </c>
      <c r="F40" s="38" t="str">
        <f>IFERROR(__xludf.DUMMYFUNCTION("""COMPUTED_VALUE"""),"X Large")</f>
        <v>X Large</v>
      </c>
      <c r="H40" s="38"/>
      <c r="I40" s="38"/>
      <c r="J40" s="38"/>
      <c r="K40" s="38"/>
      <c r="M40" s="31"/>
      <c r="N40" s="40"/>
      <c r="O40" s="33"/>
      <c r="P40" s="6"/>
      <c r="Q40" s="6"/>
    </row>
    <row r="41">
      <c r="B41" s="38" t="str">
        <f>IFERROR(__xludf.DUMMYFUNCTION("""COMPUTED_VALUE"""),"Squid")</f>
        <v>Squid</v>
      </c>
      <c r="C41" s="38">
        <f>IFERROR(__xludf.DUMMYFUNCTION("""COMPUTED_VALUE"""),500.0)</f>
        <v>500</v>
      </c>
      <c r="D41" s="38" t="str">
        <f>IFERROR(__xludf.DUMMYFUNCTION("""COMPUTED_VALUE"""),"All day")</f>
        <v>All day</v>
      </c>
      <c r="E41" s="38" t="str">
        <f>IFERROR(__xludf.DUMMYFUNCTION("""COMPUTED_VALUE"""),"Sea")</f>
        <v>Sea</v>
      </c>
      <c r="F41" s="38" t="str">
        <f>IFERROR(__xludf.DUMMYFUNCTION("""COMPUTED_VALUE"""),"Medium")</f>
        <v>Medium</v>
      </c>
      <c r="H41" s="38"/>
      <c r="I41" s="38"/>
      <c r="J41" s="38"/>
      <c r="K41" s="38"/>
      <c r="M41" s="34"/>
      <c r="N41" s="39"/>
      <c r="O41" s="36"/>
      <c r="P41" s="6"/>
      <c r="Q41" s="6"/>
    </row>
    <row r="42">
      <c r="B42" s="38" t="str">
        <f>IFERROR(__xludf.DUMMYFUNCTION("""COMPUTED_VALUE"""),"Tadpole")</f>
        <v>Tadpole</v>
      </c>
      <c r="C42" s="38">
        <f>IFERROR(__xludf.DUMMYFUNCTION("""COMPUTED_VALUE"""),100.0)</f>
        <v>100</v>
      </c>
      <c r="D42" s="38" t="str">
        <f>IFERROR(__xludf.DUMMYFUNCTION("""COMPUTED_VALUE"""),"All day")</f>
        <v>All day</v>
      </c>
      <c r="E42" s="38" t="str">
        <f>IFERROR(__xludf.DUMMYFUNCTION("""COMPUTED_VALUE"""),"Pond")</f>
        <v>Pond</v>
      </c>
      <c r="F42" s="38" t="str">
        <f>IFERROR(__xludf.DUMMYFUNCTION("""COMPUTED_VALUE"""),"Smallest")</f>
        <v>Smallest</v>
      </c>
      <c r="H42" s="38"/>
      <c r="I42" s="38"/>
      <c r="J42" s="38"/>
      <c r="K42" s="38"/>
      <c r="M42" s="31"/>
      <c r="N42" s="40"/>
      <c r="O42" s="33"/>
      <c r="P42" s="6"/>
      <c r="Q42" s="6"/>
    </row>
    <row r="43">
      <c r="B43" s="38" t="str">
        <f>IFERROR(__xludf.DUMMYFUNCTION("""COMPUTED_VALUE"""),"Tuna")</f>
        <v>Tuna</v>
      </c>
      <c r="C43" s="38">
        <f>IFERROR(__xludf.DUMMYFUNCTION("""COMPUTED_VALUE"""),7000.0)</f>
        <v>7000</v>
      </c>
      <c r="D43" s="38" t="str">
        <f>IFERROR(__xludf.DUMMYFUNCTION("""COMPUTED_VALUE"""),"All day")</f>
        <v>All day</v>
      </c>
      <c r="E43" s="38" t="str">
        <f>IFERROR(__xludf.DUMMYFUNCTION("""COMPUTED_VALUE"""),"Pier")</f>
        <v>Pier</v>
      </c>
      <c r="F43" s="38" t="str">
        <f>IFERROR(__xludf.DUMMYFUNCTION("""COMPUTED_VALUE"""),"Largest")</f>
        <v>Largest</v>
      </c>
      <c r="H43" s="38"/>
      <c r="I43" s="38"/>
      <c r="J43" s="38"/>
      <c r="K43" s="38"/>
      <c r="M43" s="34"/>
      <c r="N43" s="39"/>
      <c r="O43" s="36"/>
      <c r="P43" s="6"/>
      <c r="Q43" s="6"/>
    </row>
    <row r="44">
      <c r="B44" s="38"/>
      <c r="C44" s="38"/>
      <c r="D44" s="38"/>
      <c r="E44" s="38"/>
      <c r="F44" s="38"/>
      <c r="H44" s="38"/>
      <c r="I44" s="38"/>
      <c r="J44" s="38"/>
      <c r="K44" s="38"/>
      <c r="M44" s="31"/>
      <c r="N44" s="40"/>
      <c r="O44" s="33"/>
      <c r="P44" s="6"/>
      <c r="Q44" s="6"/>
    </row>
    <row r="45">
      <c r="B45" s="38"/>
      <c r="C45" s="38"/>
      <c r="D45" s="38"/>
      <c r="E45" s="38"/>
      <c r="F45" s="38"/>
      <c r="H45" s="38"/>
      <c r="I45" s="38"/>
      <c r="J45" s="38"/>
      <c r="K45" s="38"/>
      <c r="M45" s="34"/>
      <c r="N45" s="39"/>
      <c r="O45" s="36"/>
      <c r="P45" s="6"/>
      <c r="Q45" s="6"/>
    </row>
    <row r="46">
      <c r="B46" s="38"/>
      <c r="C46" s="38"/>
      <c r="D46" s="38"/>
      <c r="E46" s="38"/>
      <c r="F46" s="38"/>
      <c r="H46" s="38"/>
      <c r="I46" s="38"/>
      <c r="J46" s="38"/>
      <c r="K46" s="38"/>
      <c r="M46" s="31"/>
      <c r="N46" s="40"/>
      <c r="O46" s="33"/>
      <c r="P46" s="6"/>
      <c r="Q46" s="6"/>
    </row>
    <row r="47">
      <c r="B47" s="38"/>
      <c r="C47" s="38"/>
      <c r="D47" s="38"/>
      <c r="E47" s="38"/>
      <c r="F47" s="38"/>
      <c r="H47" s="38"/>
      <c r="I47" s="38"/>
      <c r="J47" s="38"/>
      <c r="K47" s="38"/>
      <c r="M47" s="34"/>
      <c r="N47" s="39"/>
      <c r="O47" s="36"/>
      <c r="P47" s="6"/>
      <c r="Q47" s="6"/>
    </row>
    <row r="48">
      <c r="B48" s="38"/>
      <c r="C48" s="38"/>
      <c r="D48" s="38"/>
      <c r="E48" s="38"/>
      <c r="F48" s="38"/>
      <c r="H48" s="38"/>
      <c r="I48" s="38"/>
      <c r="J48" s="38"/>
      <c r="K48" s="38"/>
      <c r="M48" s="31"/>
      <c r="N48" s="40"/>
      <c r="O48" s="33"/>
      <c r="P48" s="6"/>
      <c r="Q48" s="6"/>
    </row>
    <row r="49">
      <c r="B49" s="38"/>
      <c r="C49" s="38"/>
      <c r="D49" s="38"/>
      <c r="E49" s="38"/>
      <c r="F49" s="38"/>
      <c r="H49" s="38"/>
      <c r="I49" s="38"/>
      <c r="J49" s="38"/>
      <c r="K49" s="38"/>
      <c r="M49" s="34"/>
      <c r="N49" s="39"/>
      <c r="O49" s="36"/>
      <c r="P49" s="6"/>
      <c r="Q49" s="6"/>
    </row>
    <row r="50">
      <c r="B50" s="38"/>
      <c r="C50" s="38"/>
      <c r="D50" s="38"/>
      <c r="E50" s="38"/>
      <c r="F50" s="38"/>
      <c r="H50" s="38"/>
      <c r="I50" s="38"/>
      <c r="J50" s="38"/>
      <c r="K50" s="38"/>
      <c r="M50" s="31"/>
      <c r="N50" s="40"/>
      <c r="O50" s="33"/>
      <c r="P50" s="6"/>
      <c r="Q50" s="6"/>
    </row>
    <row r="51">
      <c r="B51" s="38"/>
      <c r="C51" s="38"/>
      <c r="D51" s="38"/>
      <c r="E51" s="38"/>
      <c r="F51" s="38"/>
      <c r="H51" s="38"/>
      <c r="I51" s="38"/>
      <c r="J51" s="38"/>
      <c r="K51" s="38"/>
      <c r="M51" s="34"/>
      <c r="N51" s="39"/>
      <c r="O51" s="36"/>
      <c r="P51" s="6"/>
      <c r="Q51" s="6"/>
    </row>
    <row r="52">
      <c r="B52" s="38"/>
      <c r="C52" s="38"/>
      <c r="D52" s="38"/>
      <c r="E52" s="38"/>
      <c r="F52" s="38"/>
      <c r="H52" s="38"/>
      <c r="I52" s="38"/>
      <c r="J52" s="38"/>
      <c r="K52" s="38"/>
      <c r="M52" s="31"/>
      <c r="N52" s="40"/>
      <c r="O52" s="33"/>
      <c r="P52" s="6"/>
      <c r="Q52" s="6"/>
    </row>
    <row r="53">
      <c r="B53" s="38"/>
      <c r="C53" s="38"/>
      <c r="D53" s="38"/>
      <c r="E53" s="38"/>
      <c r="F53" s="38"/>
      <c r="H53" s="38"/>
      <c r="I53" s="38"/>
      <c r="J53" s="38"/>
      <c r="K53" s="38"/>
      <c r="M53" s="34"/>
      <c r="N53" s="39"/>
      <c r="O53" s="36"/>
      <c r="P53" s="6"/>
      <c r="Q53" s="6"/>
    </row>
    <row r="54">
      <c r="B54" s="38"/>
      <c r="C54" s="38"/>
      <c r="D54" s="38"/>
      <c r="E54" s="38"/>
      <c r="F54" s="38"/>
      <c r="H54" s="38"/>
      <c r="I54" s="38"/>
      <c r="J54" s="38"/>
      <c r="K54" s="38"/>
      <c r="M54" s="31"/>
      <c r="N54" s="40"/>
      <c r="O54" s="33"/>
      <c r="P54" s="6"/>
      <c r="Q54" s="6"/>
    </row>
    <row r="55">
      <c r="B55" s="38"/>
      <c r="C55" s="38"/>
      <c r="D55" s="38"/>
      <c r="E55" s="38"/>
      <c r="F55" s="38"/>
      <c r="H55" s="38"/>
      <c r="I55" s="38"/>
      <c r="J55" s="38"/>
      <c r="K55" s="38"/>
      <c r="M55" s="34"/>
      <c r="N55" s="39"/>
      <c r="O55" s="36"/>
      <c r="P55" s="6"/>
      <c r="Q55" s="6"/>
    </row>
    <row r="56">
      <c r="B56" s="38"/>
      <c r="C56" s="38"/>
      <c r="D56" s="38"/>
      <c r="E56" s="38"/>
      <c r="F56" s="38"/>
      <c r="H56" s="38"/>
      <c r="I56" s="38"/>
      <c r="J56" s="38"/>
      <c r="K56" s="38"/>
      <c r="M56" s="31"/>
      <c r="N56" s="40"/>
      <c r="O56" s="33"/>
      <c r="P56" s="6"/>
      <c r="Q56" s="6"/>
    </row>
    <row r="57">
      <c r="B57" s="38"/>
      <c r="C57" s="38"/>
      <c r="D57" s="38"/>
      <c r="E57" s="38"/>
      <c r="F57" s="38"/>
      <c r="H57" s="38"/>
      <c r="I57" s="38"/>
      <c r="J57" s="38"/>
      <c r="K57" s="38"/>
      <c r="M57" s="34"/>
      <c r="N57" s="39"/>
      <c r="O57" s="36"/>
      <c r="P57" s="6"/>
      <c r="Q57" s="6"/>
    </row>
    <row r="58">
      <c r="B58" s="38"/>
      <c r="C58" s="38"/>
      <c r="D58" s="38"/>
      <c r="E58" s="38"/>
      <c r="F58" s="38"/>
      <c r="H58" s="38"/>
      <c r="I58" s="38"/>
      <c r="J58" s="38"/>
      <c r="K58" s="38"/>
      <c r="M58" s="31"/>
      <c r="N58" s="40"/>
      <c r="O58" s="33"/>
      <c r="P58" s="6"/>
      <c r="Q58" s="6"/>
    </row>
    <row r="59">
      <c r="B59" s="38"/>
      <c r="C59" s="38"/>
      <c r="D59" s="38"/>
      <c r="E59" s="38"/>
      <c r="F59" s="38"/>
      <c r="H59" s="38"/>
      <c r="I59" s="38"/>
      <c r="J59" s="38"/>
      <c r="K59" s="38"/>
      <c r="M59" s="34"/>
      <c r="N59" s="39"/>
      <c r="O59" s="36"/>
      <c r="P59" s="6"/>
      <c r="Q59" s="6"/>
    </row>
    <row r="60">
      <c r="B60" s="38"/>
      <c r="C60" s="38"/>
      <c r="D60" s="38"/>
      <c r="E60" s="38"/>
      <c r="F60" s="38"/>
      <c r="H60" s="38"/>
      <c r="I60" s="38"/>
      <c r="J60" s="38"/>
      <c r="K60" s="38"/>
      <c r="M60" s="31"/>
      <c r="N60" s="40"/>
      <c r="O60" s="33"/>
      <c r="P60" s="6"/>
      <c r="Q60" s="6"/>
    </row>
    <row r="61">
      <c r="B61" s="38"/>
      <c r="C61" s="38"/>
      <c r="D61" s="38"/>
      <c r="E61" s="38"/>
      <c r="F61" s="38"/>
      <c r="H61" s="38"/>
      <c r="I61" s="38"/>
      <c r="J61" s="38"/>
      <c r="K61" s="38"/>
      <c r="M61" s="34"/>
      <c r="N61" s="39"/>
      <c r="O61" s="36"/>
      <c r="P61" s="6"/>
      <c r="Q61" s="6"/>
    </row>
    <row r="62">
      <c r="B62" s="38"/>
      <c r="C62" s="38"/>
      <c r="D62" s="38"/>
      <c r="E62" s="38"/>
      <c r="F62" s="38"/>
      <c r="H62" s="38"/>
      <c r="I62" s="38"/>
      <c r="J62" s="38"/>
      <c r="K62" s="38"/>
      <c r="M62" s="31"/>
      <c r="N62" s="40"/>
      <c r="O62" s="33"/>
      <c r="P62" s="6"/>
      <c r="Q62" s="6"/>
    </row>
    <row r="63">
      <c r="B63" s="38"/>
      <c r="C63" s="38"/>
      <c r="D63" s="38"/>
      <c r="E63" s="38"/>
      <c r="F63" s="38"/>
      <c r="H63" s="38"/>
      <c r="I63" s="38"/>
      <c r="J63" s="38"/>
      <c r="K63" s="38"/>
      <c r="M63" s="34"/>
      <c r="N63" s="39"/>
      <c r="O63" s="36"/>
      <c r="P63" s="6"/>
      <c r="Q63" s="6"/>
    </row>
    <row r="64">
      <c r="B64" s="38"/>
      <c r="C64" s="38"/>
      <c r="D64" s="38"/>
      <c r="E64" s="38"/>
      <c r="F64" s="38"/>
      <c r="H64" s="38"/>
      <c r="I64" s="38"/>
      <c r="J64" s="38"/>
      <c r="K64" s="38"/>
      <c r="M64" s="31"/>
      <c r="N64" s="40"/>
      <c r="O64" s="33"/>
      <c r="P64" s="6"/>
      <c r="Q64" s="6"/>
    </row>
    <row r="65">
      <c r="B65" s="38"/>
      <c r="C65" s="38"/>
      <c r="D65" s="38"/>
      <c r="E65" s="38"/>
      <c r="F65" s="38"/>
      <c r="H65" s="38"/>
      <c r="I65" s="38"/>
      <c r="J65" s="38"/>
      <c r="K65" s="38"/>
      <c r="M65" s="34"/>
      <c r="N65" s="39"/>
      <c r="O65" s="36"/>
      <c r="P65" s="6"/>
      <c r="Q65" s="6"/>
    </row>
    <row r="66">
      <c r="B66" s="38"/>
      <c r="C66" s="38"/>
      <c r="D66" s="38"/>
      <c r="E66" s="38"/>
      <c r="F66" s="38"/>
      <c r="H66" s="38"/>
      <c r="I66" s="38"/>
      <c r="J66" s="38"/>
      <c r="K66" s="38"/>
      <c r="M66" s="31"/>
      <c r="N66" s="40"/>
      <c r="O66" s="33"/>
      <c r="P66" s="6"/>
      <c r="Q66" s="6"/>
    </row>
    <row r="67">
      <c r="B67" s="38"/>
      <c r="C67" s="38"/>
      <c r="D67" s="38"/>
      <c r="E67" s="38"/>
      <c r="F67" s="38"/>
      <c r="H67" s="38"/>
      <c r="I67" s="38"/>
      <c r="J67" s="38"/>
      <c r="K67" s="38"/>
      <c r="M67" s="34"/>
      <c r="N67" s="39"/>
      <c r="O67" s="36"/>
      <c r="P67" s="6"/>
      <c r="Q67" s="6"/>
    </row>
    <row r="68">
      <c r="B68" s="38"/>
      <c r="C68" s="38"/>
      <c r="D68" s="38"/>
      <c r="E68" s="38"/>
      <c r="F68" s="38"/>
      <c r="H68" s="38"/>
      <c r="I68" s="38"/>
      <c r="J68" s="38"/>
      <c r="K68" s="38"/>
      <c r="M68" s="31"/>
      <c r="N68" s="40"/>
      <c r="O68" s="33"/>
      <c r="P68" s="6"/>
      <c r="Q68" s="6"/>
    </row>
    <row r="69">
      <c r="B69" s="38"/>
      <c r="C69" s="38"/>
      <c r="D69" s="38"/>
      <c r="E69" s="38"/>
      <c r="F69" s="38"/>
      <c r="H69" s="38"/>
      <c r="I69" s="38"/>
      <c r="J69" s="38"/>
      <c r="K69" s="38"/>
      <c r="M69" s="34"/>
      <c r="N69" s="39"/>
      <c r="O69" s="36"/>
      <c r="P69" s="6"/>
      <c r="Q69" s="6"/>
    </row>
    <row r="70">
      <c r="B70" s="38"/>
      <c r="C70" s="38"/>
      <c r="D70" s="38"/>
      <c r="E70" s="38"/>
      <c r="F70" s="38"/>
      <c r="H70" s="38"/>
      <c r="I70" s="38"/>
      <c r="J70" s="38"/>
      <c r="K70" s="38"/>
      <c r="M70" s="31"/>
      <c r="N70" s="40"/>
      <c r="O70" s="33"/>
      <c r="P70" s="6"/>
      <c r="Q70" s="6"/>
    </row>
    <row r="71">
      <c r="B71" s="41"/>
      <c r="C71" s="41"/>
      <c r="D71" s="41"/>
      <c r="E71" s="41"/>
      <c r="F71" s="41"/>
      <c r="H71" s="41"/>
      <c r="I71" s="41"/>
      <c r="J71" s="41"/>
      <c r="K71" s="41"/>
      <c r="M71" s="42"/>
      <c r="N71" s="43"/>
      <c r="O71" s="44"/>
      <c r="P71" s="6"/>
      <c r="Q71" s="6"/>
    </row>
  </sheetData>
  <mergeCells count="12">
    <mergeCell ref="B5:C5"/>
    <mergeCell ref="D5:E5"/>
    <mergeCell ref="B7:F7"/>
    <mergeCell ref="H7:K7"/>
    <mergeCell ref="M7:O7"/>
    <mergeCell ref="B2:C2"/>
    <mergeCell ref="D2:E2"/>
    <mergeCell ref="H2:K2"/>
    <mergeCell ref="B3:C3"/>
    <mergeCell ref="D3:E3"/>
    <mergeCell ref="B4:C4"/>
    <mergeCell ref="H4:K5"/>
  </mergeCells>
  <dataValidations>
    <dataValidation type="list" allowBlank="1" showErrorMessage="1" sqref="D2">
      <formula1>"January,February,March,April,May,June,July,August,September,October,November,December"</formula1>
    </dataValidation>
    <dataValidation type="list" allowBlank="1" showErrorMessage="1" sqref="D3">
      <formula1>"Northern,Southern"</formula1>
    </dataValidation>
    <dataValidation type="list" allowBlank="1" showErrorMessage="1" sqref="E4">
      <formula1>"Ascending,Descending"</formula1>
    </dataValidation>
    <dataValidation type="list" allowBlank="1" showErrorMessage="1" sqref="D4">
      <formula1>"None,Last chance,Name,Price,Location,Size"</formula1>
    </dataValidation>
  </dataValidations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5.25"/>
    <col customWidth="1" min="3" max="3" width="5.5"/>
    <col customWidth="1" min="4" max="4" width="21.63"/>
    <col customWidth="1" min="5" max="5" width="7.25"/>
    <col customWidth="1" min="6" max="6" width="8.25"/>
    <col customWidth="1" min="7" max="31" width="3.88"/>
  </cols>
  <sheetData>
    <row r="1">
      <c r="A1" s="2"/>
      <c r="B1" s="45" t="str">
        <f>IFERROR(__xludf.DUMMYFUNCTION("IMPORTRANGE(""https://docs.google.com/spreadsheets/d/1DIFDg8sxRsO_mx-2ULzkZ9260v75e-pcuO51Wqdb05I/edit"", ""Fish!B1:AE"")"),"")</f>
        <v/>
      </c>
      <c r="C1" s="45"/>
      <c r="D1" s="45"/>
      <c r="E1" s="45"/>
      <c r="F1" s="45"/>
      <c r="G1" s="45" t="str">
        <f>IFERROR(__xludf.DUMMYFUNCTION("""COMPUTED_VALUE"""),"Northern Hemisphere")</f>
        <v>Northern Hemisphere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 t="str">
        <f>IFERROR(__xludf.DUMMYFUNCTION("""COMPUTED_VALUE"""),"Southern Hemisphere")</f>
        <v>Southern Hemisphere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2"/>
      <c r="B2" s="45"/>
      <c r="C2" s="45"/>
      <c r="D2" s="45"/>
      <c r="E2" s="45"/>
      <c r="F2" s="45"/>
      <c r="G2" s="45" t="str">
        <f>IFERROR(__xludf.DUMMYFUNCTION("""COMPUTED_VALUE"""),"Jan")</f>
        <v>Jan</v>
      </c>
      <c r="H2" s="45" t="str">
        <f>IFERROR(__xludf.DUMMYFUNCTION("""COMPUTED_VALUE"""),"Feb")</f>
        <v>Feb</v>
      </c>
      <c r="I2" s="45" t="str">
        <f>IFERROR(__xludf.DUMMYFUNCTION("""COMPUTED_VALUE"""),"Mar")</f>
        <v>Mar</v>
      </c>
      <c r="J2" s="45" t="str">
        <f>IFERROR(__xludf.DUMMYFUNCTION("""COMPUTED_VALUE"""),"Apr")</f>
        <v>Apr</v>
      </c>
      <c r="K2" s="45" t="str">
        <f>IFERROR(__xludf.DUMMYFUNCTION("""COMPUTED_VALUE"""),"May")</f>
        <v>May</v>
      </c>
      <c r="L2" s="45" t="str">
        <f>IFERROR(__xludf.DUMMYFUNCTION("""COMPUTED_VALUE"""),"June")</f>
        <v>June</v>
      </c>
      <c r="M2" s="45" t="str">
        <f>IFERROR(__xludf.DUMMYFUNCTION("""COMPUTED_VALUE"""),"July")</f>
        <v>July</v>
      </c>
      <c r="N2" s="45" t="str">
        <f>IFERROR(__xludf.DUMMYFUNCTION("""COMPUTED_VALUE"""),"Aug")</f>
        <v>Aug</v>
      </c>
      <c r="O2" s="45" t="str">
        <f>IFERROR(__xludf.DUMMYFUNCTION("""COMPUTED_VALUE"""),"Sept")</f>
        <v>Sept</v>
      </c>
      <c r="P2" s="45" t="str">
        <f>IFERROR(__xludf.DUMMYFUNCTION("""COMPUTED_VALUE"""),"Oct")</f>
        <v>Oct</v>
      </c>
      <c r="Q2" s="45" t="str">
        <f>IFERROR(__xludf.DUMMYFUNCTION("""COMPUTED_VALUE"""),"Nov")</f>
        <v>Nov</v>
      </c>
      <c r="R2" s="45" t="str">
        <f>IFERROR(__xludf.DUMMYFUNCTION("""COMPUTED_VALUE"""),"Dec")</f>
        <v>Dec</v>
      </c>
      <c r="S2" s="45"/>
      <c r="T2" s="45" t="str">
        <f>IFERROR(__xludf.DUMMYFUNCTION("""COMPUTED_VALUE"""),"Jan")</f>
        <v>Jan</v>
      </c>
      <c r="U2" s="45" t="str">
        <f>IFERROR(__xludf.DUMMYFUNCTION("""COMPUTED_VALUE"""),"Feb")</f>
        <v>Feb</v>
      </c>
      <c r="V2" s="45" t="str">
        <f>IFERROR(__xludf.DUMMYFUNCTION("""COMPUTED_VALUE"""),"Mar")</f>
        <v>Mar</v>
      </c>
      <c r="W2" s="45" t="str">
        <f>IFERROR(__xludf.DUMMYFUNCTION("""COMPUTED_VALUE"""),"Apr")</f>
        <v>Apr</v>
      </c>
      <c r="X2" s="45" t="str">
        <f>IFERROR(__xludf.DUMMYFUNCTION("""COMPUTED_VALUE"""),"May")</f>
        <v>May</v>
      </c>
      <c r="Y2" s="45" t="str">
        <f>IFERROR(__xludf.DUMMYFUNCTION("""COMPUTED_VALUE"""),"June")</f>
        <v>June</v>
      </c>
      <c r="Z2" s="45" t="str">
        <f>IFERROR(__xludf.DUMMYFUNCTION("""COMPUTED_VALUE"""),"July")</f>
        <v>July</v>
      </c>
      <c r="AA2" s="45" t="str">
        <f>IFERROR(__xludf.DUMMYFUNCTION("""COMPUTED_VALUE"""),"Aug")</f>
        <v>Aug</v>
      </c>
      <c r="AB2" s="45" t="str">
        <f>IFERROR(__xludf.DUMMYFUNCTION("""COMPUTED_VALUE"""),"Sept")</f>
        <v>Sept</v>
      </c>
      <c r="AC2" s="45" t="str">
        <f>IFERROR(__xludf.DUMMYFUNCTION("""COMPUTED_VALUE"""),"Oct")</f>
        <v>Oct</v>
      </c>
      <c r="AD2" s="45" t="str">
        <f>IFERROR(__xludf.DUMMYFUNCTION("""COMPUTED_VALUE"""),"Nov")</f>
        <v>Nov</v>
      </c>
      <c r="AE2" s="45" t="str">
        <f>IFERROR(__xludf.DUMMYFUNCTION("""COMPUTED_VALUE"""),"Dec")</f>
        <v>Dec</v>
      </c>
    </row>
    <row r="3">
      <c r="A3" s="6" t="b">
        <v>0</v>
      </c>
      <c r="B3" s="45" t="str">
        <f>IFERROR(__xludf.DUMMYFUNCTION("""COMPUTED_VALUE"""),"Bitterling")</f>
        <v>Bitterling</v>
      </c>
      <c r="C3" s="45">
        <f>IFERROR(__xludf.DUMMYFUNCTION("""COMPUTED_VALUE"""),900.0)</f>
        <v>900</v>
      </c>
      <c r="D3" s="45" t="str">
        <f>IFERROR(__xludf.DUMMYFUNCTION("""COMPUTED_VALUE"""),"All day")</f>
        <v>All day</v>
      </c>
      <c r="E3" s="45" t="str">
        <f>IFERROR(__xludf.DUMMYFUNCTION("""COMPUTED_VALUE"""),"River")</f>
        <v>River</v>
      </c>
      <c r="F3" s="45" t="str">
        <f>IFERROR(__xludf.DUMMYFUNCTION("""COMPUTED_VALUE"""),"Smallest")</f>
        <v>Smallest</v>
      </c>
      <c r="G3" s="45" t="b">
        <f>IFERROR(__xludf.DUMMYFUNCTION("""COMPUTED_VALUE"""),TRUE)</f>
        <v>1</v>
      </c>
      <c r="H3" s="45" t="b">
        <f>IFERROR(__xludf.DUMMYFUNCTION("""COMPUTED_VALUE"""),TRUE)</f>
        <v>1</v>
      </c>
      <c r="I3" s="45" t="b">
        <f>IFERROR(__xludf.DUMMYFUNCTION("""COMPUTED_VALUE"""),TRUE)</f>
        <v>1</v>
      </c>
      <c r="J3" s="45" t="b">
        <f>IFERROR(__xludf.DUMMYFUNCTION("""COMPUTED_VALUE"""),FALSE)</f>
        <v>0</v>
      </c>
      <c r="K3" s="45" t="b">
        <f>IFERROR(__xludf.DUMMYFUNCTION("""COMPUTED_VALUE"""),FALSE)</f>
        <v>0</v>
      </c>
      <c r="L3" s="45" t="b">
        <f>IFERROR(__xludf.DUMMYFUNCTION("""COMPUTED_VALUE"""),FALSE)</f>
        <v>0</v>
      </c>
      <c r="M3" s="45" t="b">
        <f>IFERROR(__xludf.DUMMYFUNCTION("""COMPUTED_VALUE"""),FALSE)</f>
        <v>0</v>
      </c>
      <c r="N3" s="45" t="b">
        <f>IFERROR(__xludf.DUMMYFUNCTION("""COMPUTED_VALUE"""),FALSE)</f>
        <v>0</v>
      </c>
      <c r="O3" s="45" t="b">
        <f>IFERROR(__xludf.DUMMYFUNCTION("""COMPUTED_VALUE"""),FALSE)</f>
        <v>0</v>
      </c>
      <c r="P3" s="45" t="b">
        <f>IFERROR(__xludf.DUMMYFUNCTION("""COMPUTED_VALUE"""),FALSE)</f>
        <v>0</v>
      </c>
      <c r="Q3" s="45" t="b">
        <f>IFERROR(__xludf.DUMMYFUNCTION("""COMPUTED_VALUE"""),TRUE)</f>
        <v>1</v>
      </c>
      <c r="R3" s="45" t="b">
        <f>IFERROR(__xludf.DUMMYFUNCTION("""COMPUTED_VALUE"""),TRUE)</f>
        <v>1</v>
      </c>
      <c r="S3" s="45"/>
      <c r="T3" s="45" t="b">
        <f>IFERROR(__xludf.DUMMYFUNCTION("""COMPUTED_VALUE"""),FALSE)</f>
        <v>0</v>
      </c>
      <c r="U3" s="45" t="b">
        <f>IFERROR(__xludf.DUMMYFUNCTION("""COMPUTED_VALUE"""),FALSE)</f>
        <v>0</v>
      </c>
      <c r="V3" s="45" t="b">
        <f>IFERROR(__xludf.DUMMYFUNCTION("""COMPUTED_VALUE"""),FALSE)</f>
        <v>0</v>
      </c>
      <c r="W3" s="45" t="b">
        <f>IFERROR(__xludf.DUMMYFUNCTION("""COMPUTED_VALUE"""),FALSE)</f>
        <v>0</v>
      </c>
      <c r="X3" s="45" t="b">
        <f>IFERROR(__xludf.DUMMYFUNCTION("""COMPUTED_VALUE"""),TRUE)</f>
        <v>1</v>
      </c>
      <c r="Y3" s="45" t="b">
        <f>IFERROR(__xludf.DUMMYFUNCTION("""COMPUTED_VALUE"""),TRUE)</f>
        <v>1</v>
      </c>
      <c r="Z3" s="45" t="b">
        <f>IFERROR(__xludf.DUMMYFUNCTION("""COMPUTED_VALUE"""),TRUE)</f>
        <v>1</v>
      </c>
      <c r="AA3" s="45" t="b">
        <f>IFERROR(__xludf.DUMMYFUNCTION("""COMPUTED_VALUE"""),TRUE)</f>
        <v>1</v>
      </c>
      <c r="AB3" s="45" t="b">
        <f>IFERROR(__xludf.DUMMYFUNCTION("""COMPUTED_VALUE"""),TRUE)</f>
        <v>1</v>
      </c>
      <c r="AC3" s="45" t="b">
        <f>IFERROR(__xludf.DUMMYFUNCTION("""COMPUTED_VALUE"""),FALSE)</f>
        <v>0</v>
      </c>
      <c r="AD3" s="45" t="b">
        <f>IFERROR(__xludf.DUMMYFUNCTION("""COMPUTED_VALUE"""),FALSE)</f>
        <v>0</v>
      </c>
      <c r="AE3" s="45" t="b">
        <f>IFERROR(__xludf.DUMMYFUNCTION("""COMPUTED_VALUE"""),FALSE)</f>
        <v>0</v>
      </c>
    </row>
    <row r="4">
      <c r="A4" s="6" t="b">
        <v>0</v>
      </c>
      <c r="B4" s="45" t="str">
        <f>IFERROR(__xludf.DUMMYFUNCTION("""COMPUTED_VALUE"""),"Pale chub")</f>
        <v>Pale chub</v>
      </c>
      <c r="C4" s="45">
        <f>IFERROR(__xludf.DUMMYFUNCTION("""COMPUTED_VALUE"""),200.0)</f>
        <v>200</v>
      </c>
      <c r="D4" s="45" t="str">
        <f>IFERROR(__xludf.DUMMYFUNCTION("""COMPUTED_VALUE"""),"9 a.m. - 4 p.m.")</f>
        <v>9 a.m. - 4 p.m.</v>
      </c>
      <c r="E4" s="45" t="str">
        <f>IFERROR(__xludf.DUMMYFUNCTION("""COMPUTED_VALUE"""),"River")</f>
        <v>River</v>
      </c>
      <c r="F4" s="45" t="str">
        <f>IFERROR(__xludf.DUMMYFUNCTION("""COMPUTED_VALUE"""),"Smallest")</f>
        <v>Smallest</v>
      </c>
      <c r="G4" s="45" t="b">
        <f>IFERROR(__xludf.DUMMYFUNCTION("""COMPUTED_VALUE"""),TRUE)</f>
        <v>1</v>
      </c>
      <c r="H4" s="45" t="b">
        <f>IFERROR(__xludf.DUMMYFUNCTION("""COMPUTED_VALUE"""),TRUE)</f>
        <v>1</v>
      </c>
      <c r="I4" s="45" t="b">
        <f>IFERROR(__xludf.DUMMYFUNCTION("""COMPUTED_VALUE"""),TRUE)</f>
        <v>1</v>
      </c>
      <c r="J4" s="45" t="b">
        <f>IFERROR(__xludf.DUMMYFUNCTION("""COMPUTED_VALUE"""),TRUE)</f>
        <v>1</v>
      </c>
      <c r="K4" s="45" t="b">
        <f>IFERROR(__xludf.DUMMYFUNCTION("""COMPUTED_VALUE"""),TRUE)</f>
        <v>1</v>
      </c>
      <c r="L4" s="45" t="b">
        <f>IFERROR(__xludf.DUMMYFUNCTION("""COMPUTED_VALUE"""),TRUE)</f>
        <v>1</v>
      </c>
      <c r="M4" s="45" t="b">
        <f>IFERROR(__xludf.DUMMYFUNCTION("""COMPUTED_VALUE"""),TRUE)</f>
        <v>1</v>
      </c>
      <c r="N4" s="45" t="b">
        <f>IFERROR(__xludf.DUMMYFUNCTION("""COMPUTED_VALUE"""),TRUE)</f>
        <v>1</v>
      </c>
      <c r="O4" s="45" t="b">
        <f>IFERROR(__xludf.DUMMYFUNCTION("""COMPUTED_VALUE"""),TRUE)</f>
        <v>1</v>
      </c>
      <c r="P4" s="45" t="b">
        <f>IFERROR(__xludf.DUMMYFUNCTION("""COMPUTED_VALUE"""),TRUE)</f>
        <v>1</v>
      </c>
      <c r="Q4" s="45" t="b">
        <f>IFERROR(__xludf.DUMMYFUNCTION("""COMPUTED_VALUE"""),TRUE)</f>
        <v>1</v>
      </c>
      <c r="R4" s="45" t="b">
        <f>IFERROR(__xludf.DUMMYFUNCTION("""COMPUTED_VALUE"""),TRUE)</f>
        <v>1</v>
      </c>
      <c r="S4" s="45"/>
      <c r="T4" s="45" t="b">
        <f>IFERROR(__xludf.DUMMYFUNCTION("""COMPUTED_VALUE"""),TRUE)</f>
        <v>1</v>
      </c>
      <c r="U4" s="45" t="b">
        <f>IFERROR(__xludf.DUMMYFUNCTION("""COMPUTED_VALUE"""),TRUE)</f>
        <v>1</v>
      </c>
      <c r="V4" s="45" t="b">
        <f>IFERROR(__xludf.DUMMYFUNCTION("""COMPUTED_VALUE"""),TRUE)</f>
        <v>1</v>
      </c>
      <c r="W4" s="45" t="b">
        <f>IFERROR(__xludf.DUMMYFUNCTION("""COMPUTED_VALUE"""),TRUE)</f>
        <v>1</v>
      </c>
      <c r="X4" s="45" t="b">
        <f>IFERROR(__xludf.DUMMYFUNCTION("""COMPUTED_VALUE"""),TRUE)</f>
        <v>1</v>
      </c>
      <c r="Y4" s="45" t="b">
        <f>IFERROR(__xludf.DUMMYFUNCTION("""COMPUTED_VALUE"""),TRUE)</f>
        <v>1</v>
      </c>
      <c r="Z4" s="45" t="b">
        <f>IFERROR(__xludf.DUMMYFUNCTION("""COMPUTED_VALUE"""),TRUE)</f>
        <v>1</v>
      </c>
      <c r="AA4" s="45" t="b">
        <f>IFERROR(__xludf.DUMMYFUNCTION("""COMPUTED_VALUE"""),TRUE)</f>
        <v>1</v>
      </c>
      <c r="AB4" s="45" t="b">
        <f>IFERROR(__xludf.DUMMYFUNCTION("""COMPUTED_VALUE"""),TRUE)</f>
        <v>1</v>
      </c>
      <c r="AC4" s="45" t="b">
        <f>IFERROR(__xludf.DUMMYFUNCTION("""COMPUTED_VALUE"""),TRUE)</f>
        <v>1</v>
      </c>
      <c r="AD4" s="45" t="b">
        <f>IFERROR(__xludf.DUMMYFUNCTION("""COMPUTED_VALUE"""),TRUE)</f>
        <v>1</v>
      </c>
      <c r="AE4" s="45" t="b">
        <f>IFERROR(__xludf.DUMMYFUNCTION("""COMPUTED_VALUE"""),TRUE)</f>
        <v>1</v>
      </c>
    </row>
    <row r="5">
      <c r="A5" s="6" t="b">
        <v>0</v>
      </c>
      <c r="B5" s="45" t="str">
        <f>IFERROR(__xludf.DUMMYFUNCTION("""COMPUTED_VALUE"""),"Crucian carp")</f>
        <v>Crucian carp</v>
      </c>
      <c r="C5" s="45">
        <f>IFERROR(__xludf.DUMMYFUNCTION("""COMPUTED_VALUE"""),160.0)</f>
        <v>160</v>
      </c>
      <c r="D5" s="45" t="str">
        <f>IFERROR(__xludf.DUMMYFUNCTION("""COMPUTED_VALUE"""),"All day")</f>
        <v>All day</v>
      </c>
      <c r="E5" s="45" t="str">
        <f>IFERROR(__xludf.DUMMYFUNCTION("""COMPUTED_VALUE"""),"River")</f>
        <v>River</v>
      </c>
      <c r="F5" s="45" t="str">
        <f>IFERROR(__xludf.DUMMYFUNCTION("""COMPUTED_VALUE"""),"Small")</f>
        <v>Small</v>
      </c>
      <c r="G5" s="45" t="b">
        <f>IFERROR(__xludf.DUMMYFUNCTION("""COMPUTED_VALUE"""),TRUE)</f>
        <v>1</v>
      </c>
      <c r="H5" s="45" t="b">
        <f>IFERROR(__xludf.DUMMYFUNCTION("""COMPUTED_VALUE"""),TRUE)</f>
        <v>1</v>
      </c>
      <c r="I5" s="45" t="b">
        <f>IFERROR(__xludf.DUMMYFUNCTION("""COMPUTED_VALUE"""),TRUE)</f>
        <v>1</v>
      </c>
      <c r="J5" s="45" t="b">
        <f>IFERROR(__xludf.DUMMYFUNCTION("""COMPUTED_VALUE"""),TRUE)</f>
        <v>1</v>
      </c>
      <c r="K5" s="45" t="b">
        <f>IFERROR(__xludf.DUMMYFUNCTION("""COMPUTED_VALUE"""),TRUE)</f>
        <v>1</v>
      </c>
      <c r="L5" s="45" t="b">
        <f>IFERROR(__xludf.DUMMYFUNCTION("""COMPUTED_VALUE"""),TRUE)</f>
        <v>1</v>
      </c>
      <c r="M5" s="45" t="b">
        <f>IFERROR(__xludf.DUMMYFUNCTION("""COMPUTED_VALUE"""),TRUE)</f>
        <v>1</v>
      </c>
      <c r="N5" s="45" t="b">
        <f>IFERROR(__xludf.DUMMYFUNCTION("""COMPUTED_VALUE"""),TRUE)</f>
        <v>1</v>
      </c>
      <c r="O5" s="45" t="b">
        <f>IFERROR(__xludf.DUMMYFUNCTION("""COMPUTED_VALUE"""),TRUE)</f>
        <v>1</v>
      </c>
      <c r="P5" s="45" t="b">
        <f>IFERROR(__xludf.DUMMYFUNCTION("""COMPUTED_VALUE"""),TRUE)</f>
        <v>1</v>
      </c>
      <c r="Q5" s="45" t="b">
        <f>IFERROR(__xludf.DUMMYFUNCTION("""COMPUTED_VALUE"""),TRUE)</f>
        <v>1</v>
      </c>
      <c r="R5" s="45" t="b">
        <f>IFERROR(__xludf.DUMMYFUNCTION("""COMPUTED_VALUE"""),TRUE)</f>
        <v>1</v>
      </c>
      <c r="S5" s="45"/>
      <c r="T5" s="45" t="b">
        <f>IFERROR(__xludf.DUMMYFUNCTION("""COMPUTED_VALUE"""),TRUE)</f>
        <v>1</v>
      </c>
      <c r="U5" s="45" t="b">
        <f>IFERROR(__xludf.DUMMYFUNCTION("""COMPUTED_VALUE"""),TRUE)</f>
        <v>1</v>
      </c>
      <c r="V5" s="45" t="b">
        <f>IFERROR(__xludf.DUMMYFUNCTION("""COMPUTED_VALUE"""),TRUE)</f>
        <v>1</v>
      </c>
      <c r="W5" s="45" t="b">
        <f>IFERROR(__xludf.DUMMYFUNCTION("""COMPUTED_VALUE"""),TRUE)</f>
        <v>1</v>
      </c>
      <c r="X5" s="45" t="b">
        <f>IFERROR(__xludf.DUMMYFUNCTION("""COMPUTED_VALUE"""),TRUE)</f>
        <v>1</v>
      </c>
      <c r="Y5" s="45" t="b">
        <f>IFERROR(__xludf.DUMMYFUNCTION("""COMPUTED_VALUE"""),TRUE)</f>
        <v>1</v>
      </c>
      <c r="Z5" s="45" t="b">
        <f>IFERROR(__xludf.DUMMYFUNCTION("""COMPUTED_VALUE"""),TRUE)</f>
        <v>1</v>
      </c>
      <c r="AA5" s="45" t="b">
        <f>IFERROR(__xludf.DUMMYFUNCTION("""COMPUTED_VALUE"""),TRUE)</f>
        <v>1</v>
      </c>
      <c r="AB5" s="45" t="b">
        <f>IFERROR(__xludf.DUMMYFUNCTION("""COMPUTED_VALUE"""),TRUE)</f>
        <v>1</v>
      </c>
      <c r="AC5" s="45" t="b">
        <f>IFERROR(__xludf.DUMMYFUNCTION("""COMPUTED_VALUE"""),TRUE)</f>
        <v>1</v>
      </c>
      <c r="AD5" s="45" t="b">
        <f>IFERROR(__xludf.DUMMYFUNCTION("""COMPUTED_VALUE"""),TRUE)</f>
        <v>1</v>
      </c>
      <c r="AE5" s="45" t="b">
        <f>IFERROR(__xludf.DUMMYFUNCTION("""COMPUTED_VALUE"""),TRUE)</f>
        <v>1</v>
      </c>
    </row>
    <row r="6">
      <c r="A6" s="6" t="b">
        <v>0</v>
      </c>
      <c r="B6" s="45" t="str">
        <f>IFERROR(__xludf.DUMMYFUNCTION("""COMPUTED_VALUE"""),"Dace")</f>
        <v>Dace</v>
      </c>
      <c r="C6" s="45">
        <f>IFERROR(__xludf.DUMMYFUNCTION("""COMPUTED_VALUE"""),240.0)</f>
        <v>240</v>
      </c>
      <c r="D6" s="45" t="str">
        <f>IFERROR(__xludf.DUMMYFUNCTION("""COMPUTED_VALUE"""),"4 p.m. - 9 a.m.")</f>
        <v>4 p.m. - 9 a.m.</v>
      </c>
      <c r="E6" s="45" t="str">
        <f>IFERROR(__xludf.DUMMYFUNCTION("""COMPUTED_VALUE"""),"River")</f>
        <v>River</v>
      </c>
      <c r="F6" s="45" t="str">
        <f>IFERROR(__xludf.DUMMYFUNCTION("""COMPUTED_VALUE"""),"Medium")</f>
        <v>Medium</v>
      </c>
      <c r="G6" s="45" t="b">
        <f>IFERROR(__xludf.DUMMYFUNCTION("""COMPUTED_VALUE"""),TRUE)</f>
        <v>1</v>
      </c>
      <c r="H6" s="45" t="b">
        <f>IFERROR(__xludf.DUMMYFUNCTION("""COMPUTED_VALUE"""),TRUE)</f>
        <v>1</v>
      </c>
      <c r="I6" s="45" t="b">
        <f>IFERROR(__xludf.DUMMYFUNCTION("""COMPUTED_VALUE"""),TRUE)</f>
        <v>1</v>
      </c>
      <c r="J6" s="45" t="b">
        <f>IFERROR(__xludf.DUMMYFUNCTION("""COMPUTED_VALUE"""),TRUE)</f>
        <v>1</v>
      </c>
      <c r="K6" s="45" t="b">
        <f>IFERROR(__xludf.DUMMYFUNCTION("""COMPUTED_VALUE"""),TRUE)</f>
        <v>1</v>
      </c>
      <c r="L6" s="45" t="b">
        <f>IFERROR(__xludf.DUMMYFUNCTION("""COMPUTED_VALUE"""),TRUE)</f>
        <v>1</v>
      </c>
      <c r="M6" s="45" t="b">
        <f>IFERROR(__xludf.DUMMYFUNCTION("""COMPUTED_VALUE"""),TRUE)</f>
        <v>1</v>
      </c>
      <c r="N6" s="45" t="b">
        <f>IFERROR(__xludf.DUMMYFUNCTION("""COMPUTED_VALUE"""),TRUE)</f>
        <v>1</v>
      </c>
      <c r="O6" s="45" t="b">
        <f>IFERROR(__xludf.DUMMYFUNCTION("""COMPUTED_VALUE"""),TRUE)</f>
        <v>1</v>
      </c>
      <c r="P6" s="45" t="b">
        <f>IFERROR(__xludf.DUMMYFUNCTION("""COMPUTED_VALUE"""),TRUE)</f>
        <v>1</v>
      </c>
      <c r="Q6" s="45" t="b">
        <f>IFERROR(__xludf.DUMMYFUNCTION("""COMPUTED_VALUE"""),TRUE)</f>
        <v>1</v>
      </c>
      <c r="R6" s="45" t="b">
        <f>IFERROR(__xludf.DUMMYFUNCTION("""COMPUTED_VALUE"""),TRUE)</f>
        <v>1</v>
      </c>
      <c r="S6" s="45"/>
      <c r="T6" s="45" t="b">
        <f>IFERROR(__xludf.DUMMYFUNCTION("""COMPUTED_VALUE"""),TRUE)</f>
        <v>1</v>
      </c>
      <c r="U6" s="45" t="b">
        <f>IFERROR(__xludf.DUMMYFUNCTION("""COMPUTED_VALUE"""),TRUE)</f>
        <v>1</v>
      </c>
      <c r="V6" s="45" t="b">
        <f>IFERROR(__xludf.DUMMYFUNCTION("""COMPUTED_VALUE"""),TRUE)</f>
        <v>1</v>
      </c>
      <c r="W6" s="45" t="b">
        <f>IFERROR(__xludf.DUMMYFUNCTION("""COMPUTED_VALUE"""),TRUE)</f>
        <v>1</v>
      </c>
      <c r="X6" s="45" t="b">
        <f>IFERROR(__xludf.DUMMYFUNCTION("""COMPUTED_VALUE"""),TRUE)</f>
        <v>1</v>
      </c>
      <c r="Y6" s="45" t="b">
        <f>IFERROR(__xludf.DUMMYFUNCTION("""COMPUTED_VALUE"""),TRUE)</f>
        <v>1</v>
      </c>
      <c r="Z6" s="45" t="b">
        <f>IFERROR(__xludf.DUMMYFUNCTION("""COMPUTED_VALUE"""),TRUE)</f>
        <v>1</v>
      </c>
      <c r="AA6" s="45" t="b">
        <f>IFERROR(__xludf.DUMMYFUNCTION("""COMPUTED_VALUE"""),TRUE)</f>
        <v>1</v>
      </c>
      <c r="AB6" s="45" t="b">
        <f>IFERROR(__xludf.DUMMYFUNCTION("""COMPUTED_VALUE"""),TRUE)</f>
        <v>1</v>
      </c>
      <c r="AC6" s="45" t="b">
        <f>IFERROR(__xludf.DUMMYFUNCTION("""COMPUTED_VALUE"""),TRUE)</f>
        <v>1</v>
      </c>
      <c r="AD6" s="45" t="b">
        <f>IFERROR(__xludf.DUMMYFUNCTION("""COMPUTED_VALUE"""),TRUE)</f>
        <v>1</v>
      </c>
      <c r="AE6" s="45" t="b">
        <f>IFERROR(__xludf.DUMMYFUNCTION("""COMPUTED_VALUE"""),TRUE)</f>
        <v>1</v>
      </c>
    </row>
    <row r="7">
      <c r="A7" s="6" t="b">
        <v>0</v>
      </c>
      <c r="B7" s="45" t="str">
        <f>IFERROR(__xludf.DUMMYFUNCTION("""COMPUTED_VALUE"""),"Carp")</f>
        <v>Carp</v>
      </c>
      <c r="C7" s="45">
        <f>IFERROR(__xludf.DUMMYFUNCTION("""COMPUTED_VALUE"""),300.0)</f>
        <v>300</v>
      </c>
      <c r="D7" s="45" t="str">
        <f>IFERROR(__xludf.DUMMYFUNCTION("""COMPUTED_VALUE"""),"All day")</f>
        <v>All day</v>
      </c>
      <c r="E7" s="45" t="str">
        <f>IFERROR(__xludf.DUMMYFUNCTION("""COMPUTED_VALUE"""),"Pond")</f>
        <v>Pond</v>
      </c>
      <c r="F7" s="45" t="str">
        <f>IFERROR(__xludf.DUMMYFUNCTION("""COMPUTED_VALUE"""),"Large")</f>
        <v>Large</v>
      </c>
      <c r="G7" s="45" t="b">
        <f>IFERROR(__xludf.DUMMYFUNCTION("""COMPUTED_VALUE"""),TRUE)</f>
        <v>1</v>
      </c>
      <c r="H7" s="45" t="b">
        <f>IFERROR(__xludf.DUMMYFUNCTION("""COMPUTED_VALUE"""),TRUE)</f>
        <v>1</v>
      </c>
      <c r="I7" s="45" t="b">
        <f>IFERROR(__xludf.DUMMYFUNCTION("""COMPUTED_VALUE"""),TRUE)</f>
        <v>1</v>
      </c>
      <c r="J7" s="45" t="b">
        <f>IFERROR(__xludf.DUMMYFUNCTION("""COMPUTED_VALUE"""),TRUE)</f>
        <v>1</v>
      </c>
      <c r="K7" s="45" t="b">
        <f>IFERROR(__xludf.DUMMYFUNCTION("""COMPUTED_VALUE"""),TRUE)</f>
        <v>1</v>
      </c>
      <c r="L7" s="45" t="b">
        <f>IFERROR(__xludf.DUMMYFUNCTION("""COMPUTED_VALUE"""),TRUE)</f>
        <v>1</v>
      </c>
      <c r="M7" s="45" t="b">
        <f>IFERROR(__xludf.DUMMYFUNCTION("""COMPUTED_VALUE"""),TRUE)</f>
        <v>1</v>
      </c>
      <c r="N7" s="45" t="b">
        <f>IFERROR(__xludf.DUMMYFUNCTION("""COMPUTED_VALUE"""),TRUE)</f>
        <v>1</v>
      </c>
      <c r="O7" s="45" t="b">
        <f>IFERROR(__xludf.DUMMYFUNCTION("""COMPUTED_VALUE"""),TRUE)</f>
        <v>1</v>
      </c>
      <c r="P7" s="45" t="b">
        <f>IFERROR(__xludf.DUMMYFUNCTION("""COMPUTED_VALUE"""),TRUE)</f>
        <v>1</v>
      </c>
      <c r="Q7" s="45" t="b">
        <f>IFERROR(__xludf.DUMMYFUNCTION("""COMPUTED_VALUE"""),TRUE)</f>
        <v>1</v>
      </c>
      <c r="R7" s="45" t="b">
        <f>IFERROR(__xludf.DUMMYFUNCTION("""COMPUTED_VALUE"""),TRUE)</f>
        <v>1</v>
      </c>
      <c r="S7" s="45"/>
      <c r="T7" s="45" t="b">
        <f>IFERROR(__xludf.DUMMYFUNCTION("""COMPUTED_VALUE"""),TRUE)</f>
        <v>1</v>
      </c>
      <c r="U7" s="45" t="b">
        <f>IFERROR(__xludf.DUMMYFUNCTION("""COMPUTED_VALUE"""),TRUE)</f>
        <v>1</v>
      </c>
      <c r="V7" s="45" t="b">
        <f>IFERROR(__xludf.DUMMYFUNCTION("""COMPUTED_VALUE"""),TRUE)</f>
        <v>1</v>
      </c>
      <c r="W7" s="45" t="b">
        <f>IFERROR(__xludf.DUMMYFUNCTION("""COMPUTED_VALUE"""),TRUE)</f>
        <v>1</v>
      </c>
      <c r="X7" s="45" t="b">
        <f>IFERROR(__xludf.DUMMYFUNCTION("""COMPUTED_VALUE"""),TRUE)</f>
        <v>1</v>
      </c>
      <c r="Y7" s="45" t="b">
        <f>IFERROR(__xludf.DUMMYFUNCTION("""COMPUTED_VALUE"""),TRUE)</f>
        <v>1</v>
      </c>
      <c r="Z7" s="45" t="b">
        <f>IFERROR(__xludf.DUMMYFUNCTION("""COMPUTED_VALUE"""),TRUE)</f>
        <v>1</v>
      </c>
      <c r="AA7" s="45" t="b">
        <f>IFERROR(__xludf.DUMMYFUNCTION("""COMPUTED_VALUE"""),TRUE)</f>
        <v>1</v>
      </c>
      <c r="AB7" s="45" t="b">
        <f>IFERROR(__xludf.DUMMYFUNCTION("""COMPUTED_VALUE"""),TRUE)</f>
        <v>1</v>
      </c>
      <c r="AC7" s="45" t="b">
        <f>IFERROR(__xludf.DUMMYFUNCTION("""COMPUTED_VALUE"""),TRUE)</f>
        <v>1</v>
      </c>
      <c r="AD7" s="45" t="b">
        <f>IFERROR(__xludf.DUMMYFUNCTION("""COMPUTED_VALUE"""),TRUE)</f>
        <v>1</v>
      </c>
      <c r="AE7" s="45" t="b">
        <f>IFERROR(__xludf.DUMMYFUNCTION("""COMPUTED_VALUE"""),TRUE)</f>
        <v>1</v>
      </c>
    </row>
    <row r="8">
      <c r="A8" s="6" t="b">
        <v>0</v>
      </c>
      <c r="B8" s="45" t="str">
        <f>IFERROR(__xludf.DUMMYFUNCTION("""COMPUTED_VALUE"""),"Koi")</f>
        <v>Koi</v>
      </c>
      <c r="C8" s="45">
        <f>IFERROR(__xludf.DUMMYFUNCTION("""COMPUTED_VALUE"""),4000.0)</f>
        <v>4000</v>
      </c>
      <c r="D8" s="45" t="str">
        <f>IFERROR(__xludf.DUMMYFUNCTION("""COMPUTED_VALUE"""),"4 p.m. - 9 a.m.")</f>
        <v>4 p.m. - 9 a.m.</v>
      </c>
      <c r="E8" s="45" t="str">
        <f>IFERROR(__xludf.DUMMYFUNCTION("""COMPUTED_VALUE"""),"Pond")</f>
        <v>Pond</v>
      </c>
      <c r="F8" s="45" t="str">
        <f>IFERROR(__xludf.DUMMYFUNCTION("""COMPUTED_VALUE"""),"Large")</f>
        <v>Large</v>
      </c>
      <c r="G8" s="45" t="b">
        <f>IFERROR(__xludf.DUMMYFUNCTION("""COMPUTED_VALUE"""),TRUE)</f>
        <v>1</v>
      </c>
      <c r="H8" s="45" t="b">
        <f>IFERROR(__xludf.DUMMYFUNCTION("""COMPUTED_VALUE"""),TRUE)</f>
        <v>1</v>
      </c>
      <c r="I8" s="45" t="b">
        <f>IFERROR(__xludf.DUMMYFUNCTION("""COMPUTED_VALUE"""),TRUE)</f>
        <v>1</v>
      </c>
      <c r="J8" s="45" t="b">
        <f>IFERROR(__xludf.DUMMYFUNCTION("""COMPUTED_VALUE"""),TRUE)</f>
        <v>1</v>
      </c>
      <c r="K8" s="45" t="b">
        <f>IFERROR(__xludf.DUMMYFUNCTION("""COMPUTED_VALUE"""),TRUE)</f>
        <v>1</v>
      </c>
      <c r="L8" s="45" t="b">
        <f>IFERROR(__xludf.DUMMYFUNCTION("""COMPUTED_VALUE"""),TRUE)</f>
        <v>1</v>
      </c>
      <c r="M8" s="45" t="b">
        <f>IFERROR(__xludf.DUMMYFUNCTION("""COMPUTED_VALUE"""),TRUE)</f>
        <v>1</v>
      </c>
      <c r="N8" s="45" t="b">
        <f>IFERROR(__xludf.DUMMYFUNCTION("""COMPUTED_VALUE"""),TRUE)</f>
        <v>1</v>
      </c>
      <c r="O8" s="45" t="b">
        <f>IFERROR(__xludf.DUMMYFUNCTION("""COMPUTED_VALUE"""),TRUE)</f>
        <v>1</v>
      </c>
      <c r="P8" s="45" t="b">
        <f>IFERROR(__xludf.DUMMYFUNCTION("""COMPUTED_VALUE"""),TRUE)</f>
        <v>1</v>
      </c>
      <c r="Q8" s="45" t="b">
        <f>IFERROR(__xludf.DUMMYFUNCTION("""COMPUTED_VALUE"""),TRUE)</f>
        <v>1</v>
      </c>
      <c r="R8" s="45" t="b">
        <f>IFERROR(__xludf.DUMMYFUNCTION("""COMPUTED_VALUE"""),TRUE)</f>
        <v>1</v>
      </c>
      <c r="S8" s="45"/>
      <c r="T8" s="45" t="b">
        <f>IFERROR(__xludf.DUMMYFUNCTION("""COMPUTED_VALUE"""),TRUE)</f>
        <v>1</v>
      </c>
      <c r="U8" s="45" t="b">
        <f>IFERROR(__xludf.DUMMYFUNCTION("""COMPUTED_VALUE"""),TRUE)</f>
        <v>1</v>
      </c>
      <c r="V8" s="45" t="b">
        <f>IFERROR(__xludf.DUMMYFUNCTION("""COMPUTED_VALUE"""),TRUE)</f>
        <v>1</v>
      </c>
      <c r="W8" s="45" t="b">
        <f>IFERROR(__xludf.DUMMYFUNCTION("""COMPUTED_VALUE"""),TRUE)</f>
        <v>1</v>
      </c>
      <c r="X8" s="45" t="b">
        <f>IFERROR(__xludf.DUMMYFUNCTION("""COMPUTED_VALUE"""),TRUE)</f>
        <v>1</v>
      </c>
      <c r="Y8" s="45" t="b">
        <f>IFERROR(__xludf.DUMMYFUNCTION("""COMPUTED_VALUE"""),TRUE)</f>
        <v>1</v>
      </c>
      <c r="Z8" s="45" t="b">
        <f>IFERROR(__xludf.DUMMYFUNCTION("""COMPUTED_VALUE"""),TRUE)</f>
        <v>1</v>
      </c>
      <c r="AA8" s="45" t="b">
        <f>IFERROR(__xludf.DUMMYFUNCTION("""COMPUTED_VALUE"""),TRUE)</f>
        <v>1</v>
      </c>
      <c r="AB8" s="45" t="b">
        <f>IFERROR(__xludf.DUMMYFUNCTION("""COMPUTED_VALUE"""),TRUE)</f>
        <v>1</v>
      </c>
      <c r="AC8" s="45" t="b">
        <f>IFERROR(__xludf.DUMMYFUNCTION("""COMPUTED_VALUE"""),TRUE)</f>
        <v>1</v>
      </c>
      <c r="AD8" s="45" t="b">
        <f>IFERROR(__xludf.DUMMYFUNCTION("""COMPUTED_VALUE"""),TRUE)</f>
        <v>1</v>
      </c>
      <c r="AE8" s="45" t="b">
        <f>IFERROR(__xludf.DUMMYFUNCTION("""COMPUTED_VALUE"""),TRUE)</f>
        <v>1</v>
      </c>
    </row>
    <row r="9">
      <c r="A9" s="6" t="b">
        <v>0</v>
      </c>
      <c r="B9" s="45" t="str">
        <f>IFERROR(__xludf.DUMMYFUNCTION("""COMPUTED_VALUE"""),"Goldfish")</f>
        <v>Goldfish</v>
      </c>
      <c r="C9" s="45">
        <f>IFERROR(__xludf.DUMMYFUNCTION("""COMPUTED_VALUE"""),1300.0)</f>
        <v>1300</v>
      </c>
      <c r="D9" s="45" t="str">
        <f>IFERROR(__xludf.DUMMYFUNCTION("""COMPUTED_VALUE"""),"All day")</f>
        <v>All day</v>
      </c>
      <c r="E9" s="45" t="str">
        <f>IFERROR(__xludf.DUMMYFUNCTION("""COMPUTED_VALUE"""),"Pond")</f>
        <v>Pond</v>
      </c>
      <c r="F9" s="45" t="str">
        <f>IFERROR(__xludf.DUMMYFUNCTION("""COMPUTED_VALUE"""),"Smallest")</f>
        <v>Smallest</v>
      </c>
      <c r="G9" s="45" t="b">
        <f>IFERROR(__xludf.DUMMYFUNCTION("""COMPUTED_VALUE"""),TRUE)</f>
        <v>1</v>
      </c>
      <c r="H9" s="45" t="b">
        <f>IFERROR(__xludf.DUMMYFUNCTION("""COMPUTED_VALUE"""),TRUE)</f>
        <v>1</v>
      </c>
      <c r="I9" s="45" t="b">
        <f>IFERROR(__xludf.DUMMYFUNCTION("""COMPUTED_VALUE"""),TRUE)</f>
        <v>1</v>
      </c>
      <c r="J9" s="45" t="b">
        <f>IFERROR(__xludf.DUMMYFUNCTION("""COMPUTED_VALUE"""),TRUE)</f>
        <v>1</v>
      </c>
      <c r="K9" s="45" t="b">
        <f>IFERROR(__xludf.DUMMYFUNCTION("""COMPUTED_VALUE"""),TRUE)</f>
        <v>1</v>
      </c>
      <c r="L9" s="45" t="b">
        <f>IFERROR(__xludf.DUMMYFUNCTION("""COMPUTED_VALUE"""),TRUE)</f>
        <v>1</v>
      </c>
      <c r="M9" s="45" t="b">
        <f>IFERROR(__xludf.DUMMYFUNCTION("""COMPUTED_VALUE"""),TRUE)</f>
        <v>1</v>
      </c>
      <c r="N9" s="45" t="b">
        <f>IFERROR(__xludf.DUMMYFUNCTION("""COMPUTED_VALUE"""),TRUE)</f>
        <v>1</v>
      </c>
      <c r="O9" s="45" t="b">
        <f>IFERROR(__xludf.DUMMYFUNCTION("""COMPUTED_VALUE"""),TRUE)</f>
        <v>1</v>
      </c>
      <c r="P9" s="45" t="b">
        <f>IFERROR(__xludf.DUMMYFUNCTION("""COMPUTED_VALUE"""),TRUE)</f>
        <v>1</v>
      </c>
      <c r="Q9" s="45" t="b">
        <f>IFERROR(__xludf.DUMMYFUNCTION("""COMPUTED_VALUE"""),TRUE)</f>
        <v>1</v>
      </c>
      <c r="R9" s="45" t="b">
        <f>IFERROR(__xludf.DUMMYFUNCTION("""COMPUTED_VALUE"""),TRUE)</f>
        <v>1</v>
      </c>
      <c r="S9" s="45"/>
      <c r="T9" s="45" t="b">
        <f>IFERROR(__xludf.DUMMYFUNCTION("""COMPUTED_VALUE"""),TRUE)</f>
        <v>1</v>
      </c>
      <c r="U9" s="45" t="b">
        <f>IFERROR(__xludf.DUMMYFUNCTION("""COMPUTED_VALUE"""),TRUE)</f>
        <v>1</v>
      </c>
      <c r="V9" s="45" t="b">
        <f>IFERROR(__xludf.DUMMYFUNCTION("""COMPUTED_VALUE"""),TRUE)</f>
        <v>1</v>
      </c>
      <c r="W9" s="45" t="b">
        <f>IFERROR(__xludf.DUMMYFUNCTION("""COMPUTED_VALUE"""),TRUE)</f>
        <v>1</v>
      </c>
      <c r="X9" s="45" t="b">
        <f>IFERROR(__xludf.DUMMYFUNCTION("""COMPUTED_VALUE"""),TRUE)</f>
        <v>1</v>
      </c>
      <c r="Y9" s="45" t="b">
        <f>IFERROR(__xludf.DUMMYFUNCTION("""COMPUTED_VALUE"""),TRUE)</f>
        <v>1</v>
      </c>
      <c r="Z9" s="45" t="b">
        <f>IFERROR(__xludf.DUMMYFUNCTION("""COMPUTED_VALUE"""),TRUE)</f>
        <v>1</v>
      </c>
      <c r="AA9" s="45" t="b">
        <f>IFERROR(__xludf.DUMMYFUNCTION("""COMPUTED_VALUE"""),TRUE)</f>
        <v>1</v>
      </c>
      <c r="AB9" s="45" t="b">
        <f>IFERROR(__xludf.DUMMYFUNCTION("""COMPUTED_VALUE"""),TRUE)</f>
        <v>1</v>
      </c>
      <c r="AC9" s="45" t="b">
        <f>IFERROR(__xludf.DUMMYFUNCTION("""COMPUTED_VALUE"""),TRUE)</f>
        <v>1</v>
      </c>
      <c r="AD9" s="45" t="b">
        <f>IFERROR(__xludf.DUMMYFUNCTION("""COMPUTED_VALUE"""),TRUE)</f>
        <v>1</v>
      </c>
      <c r="AE9" s="45" t="b">
        <f>IFERROR(__xludf.DUMMYFUNCTION("""COMPUTED_VALUE"""),TRUE)</f>
        <v>1</v>
      </c>
    </row>
    <row r="10">
      <c r="A10" s="6" t="b">
        <v>0</v>
      </c>
      <c r="B10" s="45" t="str">
        <f>IFERROR(__xludf.DUMMYFUNCTION("""COMPUTED_VALUE"""),"Pop-eyed goldfish")</f>
        <v>Pop-eyed goldfish</v>
      </c>
      <c r="C10" s="45">
        <f>IFERROR(__xludf.DUMMYFUNCTION("""COMPUTED_VALUE"""),1300.0)</f>
        <v>1300</v>
      </c>
      <c r="D10" s="45" t="str">
        <f>IFERROR(__xludf.DUMMYFUNCTION("""COMPUTED_VALUE"""),"9 a.m. - 4 p.m.")</f>
        <v>9 a.m. - 4 p.m.</v>
      </c>
      <c r="E10" s="45" t="str">
        <f>IFERROR(__xludf.DUMMYFUNCTION("""COMPUTED_VALUE"""),"Pond")</f>
        <v>Pond</v>
      </c>
      <c r="F10" s="45" t="str">
        <f>IFERROR(__xludf.DUMMYFUNCTION("""COMPUTED_VALUE"""),"Smallest")</f>
        <v>Smallest</v>
      </c>
      <c r="G10" s="45" t="b">
        <f>IFERROR(__xludf.DUMMYFUNCTION("""COMPUTED_VALUE"""),TRUE)</f>
        <v>1</v>
      </c>
      <c r="H10" s="45" t="b">
        <f>IFERROR(__xludf.DUMMYFUNCTION("""COMPUTED_VALUE"""),TRUE)</f>
        <v>1</v>
      </c>
      <c r="I10" s="45" t="b">
        <f>IFERROR(__xludf.DUMMYFUNCTION("""COMPUTED_VALUE"""),TRUE)</f>
        <v>1</v>
      </c>
      <c r="J10" s="45" t="b">
        <f>IFERROR(__xludf.DUMMYFUNCTION("""COMPUTED_VALUE"""),TRUE)</f>
        <v>1</v>
      </c>
      <c r="K10" s="45" t="b">
        <f>IFERROR(__xludf.DUMMYFUNCTION("""COMPUTED_VALUE"""),TRUE)</f>
        <v>1</v>
      </c>
      <c r="L10" s="45" t="b">
        <f>IFERROR(__xludf.DUMMYFUNCTION("""COMPUTED_VALUE"""),TRUE)</f>
        <v>1</v>
      </c>
      <c r="M10" s="45" t="b">
        <f>IFERROR(__xludf.DUMMYFUNCTION("""COMPUTED_VALUE"""),TRUE)</f>
        <v>1</v>
      </c>
      <c r="N10" s="45" t="b">
        <f>IFERROR(__xludf.DUMMYFUNCTION("""COMPUTED_VALUE"""),TRUE)</f>
        <v>1</v>
      </c>
      <c r="O10" s="45" t="b">
        <f>IFERROR(__xludf.DUMMYFUNCTION("""COMPUTED_VALUE"""),TRUE)</f>
        <v>1</v>
      </c>
      <c r="P10" s="45" t="b">
        <f>IFERROR(__xludf.DUMMYFUNCTION("""COMPUTED_VALUE"""),TRUE)</f>
        <v>1</v>
      </c>
      <c r="Q10" s="45" t="b">
        <f>IFERROR(__xludf.DUMMYFUNCTION("""COMPUTED_VALUE"""),TRUE)</f>
        <v>1</v>
      </c>
      <c r="R10" s="45" t="b">
        <f>IFERROR(__xludf.DUMMYFUNCTION("""COMPUTED_VALUE"""),TRUE)</f>
        <v>1</v>
      </c>
      <c r="S10" s="45"/>
      <c r="T10" s="45" t="b">
        <f>IFERROR(__xludf.DUMMYFUNCTION("""COMPUTED_VALUE"""),TRUE)</f>
        <v>1</v>
      </c>
      <c r="U10" s="45" t="b">
        <f>IFERROR(__xludf.DUMMYFUNCTION("""COMPUTED_VALUE"""),TRUE)</f>
        <v>1</v>
      </c>
      <c r="V10" s="45" t="b">
        <f>IFERROR(__xludf.DUMMYFUNCTION("""COMPUTED_VALUE"""),TRUE)</f>
        <v>1</v>
      </c>
      <c r="W10" s="45" t="b">
        <f>IFERROR(__xludf.DUMMYFUNCTION("""COMPUTED_VALUE"""),TRUE)</f>
        <v>1</v>
      </c>
      <c r="X10" s="45" t="b">
        <f>IFERROR(__xludf.DUMMYFUNCTION("""COMPUTED_VALUE"""),TRUE)</f>
        <v>1</v>
      </c>
      <c r="Y10" s="45" t="b">
        <f>IFERROR(__xludf.DUMMYFUNCTION("""COMPUTED_VALUE"""),TRUE)</f>
        <v>1</v>
      </c>
      <c r="Z10" s="45" t="b">
        <f>IFERROR(__xludf.DUMMYFUNCTION("""COMPUTED_VALUE"""),TRUE)</f>
        <v>1</v>
      </c>
      <c r="AA10" s="45" t="b">
        <f>IFERROR(__xludf.DUMMYFUNCTION("""COMPUTED_VALUE"""),TRUE)</f>
        <v>1</v>
      </c>
      <c r="AB10" s="45" t="b">
        <f>IFERROR(__xludf.DUMMYFUNCTION("""COMPUTED_VALUE"""),TRUE)</f>
        <v>1</v>
      </c>
      <c r="AC10" s="45" t="b">
        <f>IFERROR(__xludf.DUMMYFUNCTION("""COMPUTED_VALUE"""),TRUE)</f>
        <v>1</v>
      </c>
      <c r="AD10" s="45" t="b">
        <f>IFERROR(__xludf.DUMMYFUNCTION("""COMPUTED_VALUE"""),TRUE)</f>
        <v>1</v>
      </c>
      <c r="AE10" s="45" t="b">
        <f>IFERROR(__xludf.DUMMYFUNCTION("""COMPUTED_VALUE"""),TRUE)</f>
        <v>1</v>
      </c>
    </row>
    <row r="11">
      <c r="A11" s="6" t="b">
        <v>0</v>
      </c>
      <c r="B11" s="45" t="str">
        <f>IFERROR(__xludf.DUMMYFUNCTION("""COMPUTED_VALUE"""),"Ranchu goldfish")</f>
        <v>Ranchu goldfish</v>
      </c>
      <c r="C11" s="45">
        <f>IFERROR(__xludf.DUMMYFUNCTION("""COMPUTED_VALUE"""),4500.0)</f>
        <v>4500</v>
      </c>
      <c r="D11" s="45" t="str">
        <f>IFERROR(__xludf.DUMMYFUNCTION("""COMPUTED_VALUE"""),"9 a.m. - 4 p.m.")</f>
        <v>9 a.m. - 4 p.m.</v>
      </c>
      <c r="E11" s="45" t="str">
        <f>IFERROR(__xludf.DUMMYFUNCTION("""COMPUTED_VALUE"""),"Pond")</f>
        <v>Pond</v>
      </c>
      <c r="F11" s="45" t="str">
        <f>IFERROR(__xludf.DUMMYFUNCTION("""COMPUTED_VALUE"""),"Small")</f>
        <v>Small</v>
      </c>
      <c r="G11" s="45" t="b">
        <f>IFERROR(__xludf.DUMMYFUNCTION("""COMPUTED_VALUE"""),TRUE)</f>
        <v>1</v>
      </c>
      <c r="H11" s="45" t="b">
        <f>IFERROR(__xludf.DUMMYFUNCTION("""COMPUTED_VALUE"""),TRUE)</f>
        <v>1</v>
      </c>
      <c r="I11" s="45" t="b">
        <f>IFERROR(__xludf.DUMMYFUNCTION("""COMPUTED_VALUE"""),TRUE)</f>
        <v>1</v>
      </c>
      <c r="J11" s="45" t="b">
        <f>IFERROR(__xludf.DUMMYFUNCTION("""COMPUTED_VALUE"""),TRUE)</f>
        <v>1</v>
      </c>
      <c r="K11" s="45" t="b">
        <f>IFERROR(__xludf.DUMMYFUNCTION("""COMPUTED_VALUE"""),TRUE)</f>
        <v>1</v>
      </c>
      <c r="L11" s="45" t="b">
        <f>IFERROR(__xludf.DUMMYFUNCTION("""COMPUTED_VALUE"""),TRUE)</f>
        <v>1</v>
      </c>
      <c r="M11" s="45" t="b">
        <f>IFERROR(__xludf.DUMMYFUNCTION("""COMPUTED_VALUE"""),TRUE)</f>
        <v>1</v>
      </c>
      <c r="N11" s="45" t="b">
        <f>IFERROR(__xludf.DUMMYFUNCTION("""COMPUTED_VALUE"""),TRUE)</f>
        <v>1</v>
      </c>
      <c r="O11" s="45" t="b">
        <f>IFERROR(__xludf.DUMMYFUNCTION("""COMPUTED_VALUE"""),TRUE)</f>
        <v>1</v>
      </c>
      <c r="P11" s="45" t="b">
        <f>IFERROR(__xludf.DUMMYFUNCTION("""COMPUTED_VALUE"""),TRUE)</f>
        <v>1</v>
      </c>
      <c r="Q11" s="45" t="b">
        <f>IFERROR(__xludf.DUMMYFUNCTION("""COMPUTED_VALUE"""),TRUE)</f>
        <v>1</v>
      </c>
      <c r="R11" s="45" t="b">
        <f>IFERROR(__xludf.DUMMYFUNCTION("""COMPUTED_VALUE"""),TRUE)</f>
        <v>1</v>
      </c>
      <c r="S11" s="45"/>
      <c r="T11" s="45" t="b">
        <f>IFERROR(__xludf.DUMMYFUNCTION("""COMPUTED_VALUE"""),TRUE)</f>
        <v>1</v>
      </c>
      <c r="U11" s="45" t="b">
        <f>IFERROR(__xludf.DUMMYFUNCTION("""COMPUTED_VALUE"""),TRUE)</f>
        <v>1</v>
      </c>
      <c r="V11" s="45" t="b">
        <f>IFERROR(__xludf.DUMMYFUNCTION("""COMPUTED_VALUE"""),TRUE)</f>
        <v>1</v>
      </c>
      <c r="W11" s="45" t="b">
        <f>IFERROR(__xludf.DUMMYFUNCTION("""COMPUTED_VALUE"""),TRUE)</f>
        <v>1</v>
      </c>
      <c r="X11" s="45" t="b">
        <f>IFERROR(__xludf.DUMMYFUNCTION("""COMPUTED_VALUE"""),TRUE)</f>
        <v>1</v>
      </c>
      <c r="Y11" s="45" t="b">
        <f>IFERROR(__xludf.DUMMYFUNCTION("""COMPUTED_VALUE"""),TRUE)</f>
        <v>1</v>
      </c>
      <c r="Z11" s="45" t="b">
        <f>IFERROR(__xludf.DUMMYFUNCTION("""COMPUTED_VALUE"""),TRUE)</f>
        <v>1</v>
      </c>
      <c r="AA11" s="45" t="b">
        <f>IFERROR(__xludf.DUMMYFUNCTION("""COMPUTED_VALUE"""),TRUE)</f>
        <v>1</v>
      </c>
      <c r="AB11" s="45" t="b">
        <f>IFERROR(__xludf.DUMMYFUNCTION("""COMPUTED_VALUE"""),TRUE)</f>
        <v>1</v>
      </c>
      <c r="AC11" s="45" t="b">
        <f>IFERROR(__xludf.DUMMYFUNCTION("""COMPUTED_VALUE"""),TRUE)</f>
        <v>1</v>
      </c>
      <c r="AD11" s="45" t="b">
        <f>IFERROR(__xludf.DUMMYFUNCTION("""COMPUTED_VALUE"""),TRUE)</f>
        <v>1</v>
      </c>
      <c r="AE11" s="45" t="b">
        <f>IFERROR(__xludf.DUMMYFUNCTION("""COMPUTED_VALUE"""),TRUE)</f>
        <v>1</v>
      </c>
    </row>
    <row r="12">
      <c r="A12" s="6" t="b">
        <v>0</v>
      </c>
      <c r="B12" s="45" t="str">
        <f>IFERROR(__xludf.DUMMYFUNCTION("""COMPUTED_VALUE"""),"Killifish")</f>
        <v>Killifish</v>
      </c>
      <c r="C12" s="45">
        <f>IFERROR(__xludf.DUMMYFUNCTION("""COMPUTED_VALUE"""),300.0)</f>
        <v>300</v>
      </c>
      <c r="D12" s="45" t="str">
        <f>IFERROR(__xludf.DUMMYFUNCTION("""COMPUTED_VALUE"""),"All day")</f>
        <v>All day</v>
      </c>
      <c r="E12" s="45" t="str">
        <f>IFERROR(__xludf.DUMMYFUNCTION("""COMPUTED_VALUE"""),"Pond")</f>
        <v>Pond</v>
      </c>
      <c r="F12" s="45" t="str">
        <f>IFERROR(__xludf.DUMMYFUNCTION("""COMPUTED_VALUE"""),"Smallest")</f>
        <v>Smallest</v>
      </c>
      <c r="G12" s="45" t="b">
        <f>IFERROR(__xludf.DUMMYFUNCTION("""COMPUTED_VALUE"""),FALSE)</f>
        <v>0</v>
      </c>
      <c r="H12" s="45" t="b">
        <f>IFERROR(__xludf.DUMMYFUNCTION("""COMPUTED_VALUE"""),FALSE)</f>
        <v>0</v>
      </c>
      <c r="I12" s="45" t="b">
        <f>IFERROR(__xludf.DUMMYFUNCTION("""COMPUTED_VALUE"""),FALSE)</f>
        <v>0</v>
      </c>
      <c r="J12" s="45" t="b">
        <f>IFERROR(__xludf.DUMMYFUNCTION("""COMPUTED_VALUE"""),TRUE)</f>
        <v>1</v>
      </c>
      <c r="K12" s="45" t="b">
        <f>IFERROR(__xludf.DUMMYFUNCTION("""COMPUTED_VALUE"""),TRUE)</f>
        <v>1</v>
      </c>
      <c r="L12" s="45" t="b">
        <f>IFERROR(__xludf.DUMMYFUNCTION("""COMPUTED_VALUE"""),TRUE)</f>
        <v>1</v>
      </c>
      <c r="M12" s="45" t="b">
        <f>IFERROR(__xludf.DUMMYFUNCTION("""COMPUTED_VALUE"""),TRUE)</f>
        <v>1</v>
      </c>
      <c r="N12" s="45" t="b">
        <f>IFERROR(__xludf.DUMMYFUNCTION("""COMPUTED_VALUE"""),TRUE)</f>
        <v>1</v>
      </c>
      <c r="O12" s="45" t="b">
        <f>IFERROR(__xludf.DUMMYFUNCTION("""COMPUTED_VALUE"""),FALSE)</f>
        <v>0</v>
      </c>
      <c r="P12" s="45" t="b">
        <f>IFERROR(__xludf.DUMMYFUNCTION("""COMPUTED_VALUE"""),FALSE)</f>
        <v>0</v>
      </c>
      <c r="Q12" s="45" t="b">
        <f>IFERROR(__xludf.DUMMYFUNCTION("""COMPUTED_VALUE"""),FALSE)</f>
        <v>0</v>
      </c>
      <c r="R12" s="45" t="b">
        <f>IFERROR(__xludf.DUMMYFUNCTION("""COMPUTED_VALUE"""),FALSE)</f>
        <v>0</v>
      </c>
      <c r="S12" s="45"/>
      <c r="T12" s="45" t="b">
        <f>IFERROR(__xludf.DUMMYFUNCTION("""COMPUTED_VALUE"""),TRUE)</f>
        <v>1</v>
      </c>
      <c r="U12" s="45" t="b">
        <f>IFERROR(__xludf.DUMMYFUNCTION("""COMPUTED_VALUE"""),TRUE)</f>
        <v>1</v>
      </c>
      <c r="V12" s="45" t="b">
        <f>IFERROR(__xludf.DUMMYFUNCTION("""COMPUTED_VALUE"""),FALSE)</f>
        <v>0</v>
      </c>
      <c r="W12" s="45" t="b">
        <f>IFERROR(__xludf.DUMMYFUNCTION("""COMPUTED_VALUE"""),FALSE)</f>
        <v>0</v>
      </c>
      <c r="X12" s="45" t="b">
        <f>IFERROR(__xludf.DUMMYFUNCTION("""COMPUTED_VALUE"""),FALSE)</f>
        <v>0</v>
      </c>
      <c r="Y12" s="45" t="b">
        <f>IFERROR(__xludf.DUMMYFUNCTION("""COMPUTED_VALUE"""),FALSE)</f>
        <v>0</v>
      </c>
      <c r="Z12" s="45" t="b">
        <f>IFERROR(__xludf.DUMMYFUNCTION("""COMPUTED_VALUE"""),FALSE)</f>
        <v>0</v>
      </c>
      <c r="AA12" s="45" t="b">
        <f>IFERROR(__xludf.DUMMYFUNCTION("""COMPUTED_VALUE"""),FALSE)</f>
        <v>0</v>
      </c>
      <c r="AB12" s="45" t="b">
        <f>IFERROR(__xludf.DUMMYFUNCTION("""COMPUTED_VALUE"""),FALSE)</f>
        <v>0</v>
      </c>
      <c r="AC12" s="45" t="b">
        <f>IFERROR(__xludf.DUMMYFUNCTION("""COMPUTED_VALUE"""),TRUE)</f>
        <v>1</v>
      </c>
      <c r="AD12" s="45" t="b">
        <f>IFERROR(__xludf.DUMMYFUNCTION("""COMPUTED_VALUE"""),TRUE)</f>
        <v>1</v>
      </c>
      <c r="AE12" s="45" t="b">
        <f>IFERROR(__xludf.DUMMYFUNCTION("""COMPUTED_VALUE"""),TRUE)</f>
        <v>1</v>
      </c>
    </row>
    <row r="13">
      <c r="A13" s="6" t="b">
        <v>0</v>
      </c>
      <c r="B13" s="45" t="str">
        <f>IFERROR(__xludf.DUMMYFUNCTION("""COMPUTED_VALUE"""),"Crawfish")</f>
        <v>Crawfish</v>
      </c>
      <c r="C13" s="45">
        <f>IFERROR(__xludf.DUMMYFUNCTION("""COMPUTED_VALUE"""),200.0)</f>
        <v>200</v>
      </c>
      <c r="D13" s="45" t="str">
        <f>IFERROR(__xludf.DUMMYFUNCTION("""COMPUTED_VALUE"""),"All day")</f>
        <v>All day</v>
      </c>
      <c r="E13" s="45" t="str">
        <f>IFERROR(__xludf.DUMMYFUNCTION("""COMPUTED_VALUE"""),"Pond")</f>
        <v>Pond</v>
      </c>
      <c r="F13" s="45" t="str">
        <f>IFERROR(__xludf.DUMMYFUNCTION("""COMPUTED_VALUE"""),"Small")</f>
        <v>Small</v>
      </c>
      <c r="G13" s="45" t="b">
        <f>IFERROR(__xludf.DUMMYFUNCTION("""COMPUTED_VALUE"""),FALSE)</f>
        <v>0</v>
      </c>
      <c r="H13" s="45" t="b">
        <f>IFERROR(__xludf.DUMMYFUNCTION("""COMPUTED_VALUE"""),FALSE)</f>
        <v>0</v>
      </c>
      <c r="I13" s="45" t="b">
        <f>IFERROR(__xludf.DUMMYFUNCTION("""COMPUTED_VALUE"""),FALSE)</f>
        <v>0</v>
      </c>
      <c r="J13" s="45" t="b">
        <f>IFERROR(__xludf.DUMMYFUNCTION("""COMPUTED_VALUE"""),TRUE)</f>
        <v>1</v>
      </c>
      <c r="K13" s="45" t="b">
        <f>IFERROR(__xludf.DUMMYFUNCTION("""COMPUTED_VALUE"""),TRUE)</f>
        <v>1</v>
      </c>
      <c r="L13" s="45" t="b">
        <f>IFERROR(__xludf.DUMMYFUNCTION("""COMPUTED_VALUE"""),TRUE)</f>
        <v>1</v>
      </c>
      <c r="M13" s="45" t="b">
        <f>IFERROR(__xludf.DUMMYFUNCTION("""COMPUTED_VALUE"""),TRUE)</f>
        <v>1</v>
      </c>
      <c r="N13" s="45" t="b">
        <f>IFERROR(__xludf.DUMMYFUNCTION("""COMPUTED_VALUE"""),TRUE)</f>
        <v>1</v>
      </c>
      <c r="O13" s="45" t="b">
        <f>IFERROR(__xludf.DUMMYFUNCTION("""COMPUTED_VALUE"""),TRUE)</f>
        <v>1</v>
      </c>
      <c r="P13" s="45" t="b">
        <f>IFERROR(__xludf.DUMMYFUNCTION("""COMPUTED_VALUE"""),FALSE)</f>
        <v>0</v>
      </c>
      <c r="Q13" s="45" t="b">
        <f>IFERROR(__xludf.DUMMYFUNCTION("""COMPUTED_VALUE"""),FALSE)</f>
        <v>0</v>
      </c>
      <c r="R13" s="45" t="b">
        <f>IFERROR(__xludf.DUMMYFUNCTION("""COMPUTED_VALUE"""),FALSE)</f>
        <v>0</v>
      </c>
      <c r="S13" s="45"/>
      <c r="T13" s="45" t="b">
        <f>IFERROR(__xludf.DUMMYFUNCTION("""COMPUTED_VALUE"""),TRUE)</f>
        <v>1</v>
      </c>
      <c r="U13" s="45" t="b">
        <f>IFERROR(__xludf.DUMMYFUNCTION("""COMPUTED_VALUE"""),TRUE)</f>
        <v>1</v>
      </c>
      <c r="V13" s="45" t="b">
        <f>IFERROR(__xludf.DUMMYFUNCTION("""COMPUTED_VALUE"""),TRUE)</f>
        <v>1</v>
      </c>
      <c r="W13" s="45" t="b">
        <f>IFERROR(__xludf.DUMMYFUNCTION("""COMPUTED_VALUE"""),FALSE)</f>
        <v>0</v>
      </c>
      <c r="X13" s="45" t="b">
        <f>IFERROR(__xludf.DUMMYFUNCTION("""COMPUTED_VALUE"""),FALSE)</f>
        <v>0</v>
      </c>
      <c r="Y13" s="45" t="b">
        <f>IFERROR(__xludf.DUMMYFUNCTION("""COMPUTED_VALUE"""),FALSE)</f>
        <v>0</v>
      </c>
      <c r="Z13" s="45" t="b">
        <f>IFERROR(__xludf.DUMMYFUNCTION("""COMPUTED_VALUE"""),FALSE)</f>
        <v>0</v>
      </c>
      <c r="AA13" s="45" t="b">
        <f>IFERROR(__xludf.DUMMYFUNCTION("""COMPUTED_VALUE"""),FALSE)</f>
        <v>0</v>
      </c>
      <c r="AB13" s="45" t="b">
        <f>IFERROR(__xludf.DUMMYFUNCTION("""COMPUTED_VALUE"""),FALSE)</f>
        <v>0</v>
      </c>
      <c r="AC13" s="45" t="b">
        <f>IFERROR(__xludf.DUMMYFUNCTION("""COMPUTED_VALUE"""),TRUE)</f>
        <v>1</v>
      </c>
      <c r="AD13" s="45" t="b">
        <f>IFERROR(__xludf.DUMMYFUNCTION("""COMPUTED_VALUE"""),TRUE)</f>
        <v>1</v>
      </c>
      <c r="AE13" s="45" t="b">
        <f>IFERROR(__xludf.DUMMYFUNCTION("""COMPUTED_VALUE"""),TRUE)</f>
        <v>1</v>
      </c>
    </row>
    <row r="14">
      <c r="A14" s="6" t="b">
        <v>0</v>
      </c>
      <c r="B14" s="45" t="str">
        <f>IFERROR(__xludf.DUMMYFUNCTION("""COMPUTED_VALUE"""),"Soft-shelled turtle")</f>
        <v>Soft-shelled turtle</v>
      </c>
      <c r="C14" s="45">
        <f>IFERROR(__xludf.DUMMYFUNCTION("""COMPUTED_VALUE"""),7350.0)</f>
        <v>7350</v>
      </c>
      <c r="D14" s="45" t="str">
        <f>IFERROR(__xludf.DUMMYFUNCTION("""COMPUTED_VALUE"""),"4 p.m. - 9 a.m.")</f>
        <v>4 p.m. - 9 a.m.</v>
      </c>
      <c r="E14" s="45" t="str">
        <f>IFERROR(__xludf.DUMMYFUNCTION("""COMPUTED_VALUE"""),"River")</f>
        <v>River</v>
      </c>
      <c r="F14" s="45" t="str">
        <f>IFERROR(__xludf.DUMMYFUNCTION("""COMPUTED_VALUE"""),"Large")</f>
        <v>Large</v>
      </c>
      <c r="G14" s="45" t="b">
        <f>IFERROR(__xludf.DUMMYFUNCTION("""COMPUTED_VALUE"""),FALSE)</f>
        <v>0</v>
      </c>
      <c r="H14" s="45" t="b">
        <f>IFERROR(__xludf.DUMMYFUNCTION("""COMPUTED_VALUE"""),FALSE)</f>
        <v>0</v>
      </c>
      <c r="I14" s="45" t="b">
        <f>IFERROR(__xludf.DUMMYFUNCTION("""COMPUTED_VALUE"""),FALSE)</f>
        <v>0</v>
      </c>
      <c r="J14" s="45" t="b">
        <f>IFERROR(__xludf.DUMMYFUNCTION("""COMPUTED_VALUE"""),FALSE)</f>
        <v>0</v>
      </c>
      <c r="K14" s="45" t="b">
        <f>IFERROR(__xludf.DUMMYFUNCTION("""COMPUTED_VALUE"""),FALSE)</f>
        <v>0</v>
      </c>
      <c r="L14" s="45" t="b">
        <f>IFERROR(__xludf.DUMMYFUNCTION("""COMPUTED_VALUE"""),FALSE)</f>
        <v>0</v>
      </c>
      <c r="M14" s="45" t="b">
        <f>IFERROR(__xludf.DUMMYFUNCTION("""COMPUTED_VALUE"""),FALSE)</f>
        <v>0</v>
      </c>
      <c r="N14" s="45" t="b">
        <f>IFERROR(__xludf.DUMMYFUNCTION("""COMPUTED_VALUE"""),TRUE)</f>
        <v>1</v>
      </c>
      <c r="O14" s="45" t="b">
        <f>IFERROR(__xludf.DUMMYFUNCTION("""COMPUTED_VALUE"""),TRUE)</f>
        <v>1</v>
      </c>
      <c r="P14" s="45" t="b">
        <f>IFERROR(__xludf.DUMMYFUNCTION("""COMPUTED_VALUE"""),FALSE)</f>
        <v>0</v>
      </c>
      <c r="Q14" s="45" t="b">
        <f>IFERROR(__xludf.DUMMYFUNCTION("""COMPUTED_VALUE"""),FALSE)</f>
        <v>0</v>
      </c>
      <c r="R14" s="45" t="b">
        <f>IFERROR(__xludf.DUMMYFUNCTION("""COMPUTED_VALUE"""),FALSE)</f>
        <v>0</v>
      </c>
      <c r="S14" s="45"/>
      <c r="T14" s="45" t="b">
        <f>IFERROR(__xludf.DUMMYFUNCTION("""COMPUTED_VALUE"""),FALSE)</f>
        <v>0</v>
      </c>
      <c r="U14" s="45" t="b">
        <f>IFERROR(__xludf.DUMMYFUNCTION("""COMPUTED_VALUE"""),TRUE)</f>
        <v>1</v>
      </c>
      <c r="V14" s="45" t="b">
        <f>IFERROR(__xludf.DUMMYFUNCTION("""COMPUTED_VALUE"""),TRUE)</f>
        <v>1</v>
      </c>
      <c r="W14" s="45" t="b">
        <f>IFERROR(__xludf.DUMMYFUNCTION("""COMPUTED_VALUE"""),FALSE)</f>
        <v>0</v>
      </c>
      <c r="X14" s="45" t="b">
        <f>IFERROR(__xludf.DUMMYFUNCTION("""COMPUTED_VALUE"""),FALSE)</f>
        <v>0</v>
      </c>
      <c r="Y14" s="45" t="b">
        <f>IFERROR(__xludf.DUMMYFUNCTION("""COMPUTED_VALUE"""),FALSE)</f>
        <v>0</v>
      </c>
      <c r="Z14" s="45" t="b">
        <f>IFERROR(__xludf.DUMMYFUNCTION("""COMPUTED_VALUE"""),FALSE)</f>
        <v>0</v>
      </c>
      <c r="AA14" s="45" t="b">
        <f>IFERROR(__xludf.DUMMYFUNCTION("""COMPUTED_VALUE"""),FALSE)</f>
        <v>0</v>
      </c>
      <c r="AB14" s="45" t="b">
        <f>IFERROR(__xludf.DUMMYFUNCTION("""COMPUTED_VALUE"""),FALSE)</f>
        <v>0</v>
      </c>
      <c r="AC14" s="45" t="b">
        <f>IFERROR(__xludf.DUMMYFUNCTION("""COMPUTED_VALUE"""),FALSE)</f>
        <v>0</v>
      </c>
      <c r="AD14" s="45" t="b">
        <f>IFERROR(__xludf.DUMMYFUNCTION("""COMPUTED_VALUE"""),FALSE)</f>
        <v>0</v>
      </c>
      <c r="AE14" s="45" t="b">
        <f>IFERROR(__xludf.DUMMYFUNCTION("""COMPUTED_VALUE"""),FALSE)</f>
        <v>0</v>
      </c>
    </row>
    <row r="15">
      <c r="A15" s="6" t="b">
        <v>0</v>
      </c>
      <c r="B15" s="45" t="str">
        <f>IFERROR(__xludf.DUMMYFUNCTION("""COMPUTED_VALUE"""),"Snapping turtle")</f>
        <v>Snapping turtle</v>
      </c>
      <c r="C15" s="45">
        <f>IFERROR(__xludf.DUMMYFUNCTION("""COMPUTED_VALUE"""),5000.0)</f>
        <v>5000</v>
      </c>
      <c r="D15" s="45" t="str">
        <f>IFERROR(__xludf.DUMMYFUNCTION("""COMPUTED_VALUE"""),"9 p.m. - 4 a.m.")</f>
        <v>9 p.m. - 4 a.m.</v>
      </c>
      <c r="E15" s="45" t="str">
        <f>IFERROR(__xludf.DUMMYFUNCTION("""COMPUTED_VALUE"""),"River")</f>
        <v>River</v>
      </c>
      <c r="F15" s="45" t="str">
        <f>IFERROR(__xludf.DUMMYFUNCTION("""COMPUTED_VALUE"""),"X Large")</f>
        <v>X Large</v>
      </c>
      <c r="G15" s="45" t="b">
        <f>IFERROR(__xludf.DUMMYFUNCTION("""COMPUTED_VALUE"""),FALSE)</f>
        <v>0</v>
      </c>
      <c r="H15" s="45" t="b">
        <f>IFERROR(__xludf.DUMMYFUNCTION("""COMPUTED_VALUE"""),FALSE)</f>
        <v>0</v>
      </c>
      <c r="I15" s="45" t="b">
        <f>IFERROR(__xludf.DUMMYFUNCTION("""COMPUTED_VALUE"""),FALSE)</f>
        <v>0</v>
      </c>
      <c r="J15" s="45" t="b">
        <f>IFERROR(__xludf.DUMMYFUNCTION("""COMPUTED_VALUE"""),TRUE)</f>
        <v>1</v>
      </c>
      <c r="K15" s="45" t="b">
        <f>IFERROR(__xludf.DUMMYFUNCTION("""COMPUTED_VALUE"""),TRUE)</f>
        <v>1</v>
      </c>
      <c r="L15" s="45" t="b">
        <f>IFERROR(__xludf.DUMMYFUNCTION("""COMPUTED_VALUE"""),TRUE)</f>
        <v>1</v>
      </c>
      <c r="M15" s="45" t="b">
        <f>IFERROR(__xludf.DUMMYFUNCTION("""COMPUTED_VALUE"""),TRUE)</f>
        <v>1</v>
      </c>
      <c r="N15" s="45" t="b">
        <f>IFERROR(__xludf.DUMMYFUNCTION("""COMPUTED_VALUE"""),TRUE)</f>
        <v>1</v>
      </c>
      <c r="O15" s="45" t="b">
        <f>IFERROR(__xludf.DUMMYFUNCTION("""COMPUTED_VALUE"""),TRUE)</f>
        <v>1</v>
      </c>
      <c r="P15" s="45" t="b">
        <f>IFERROR(__xludf.DUMMYFUNCTION("""COMPUTED_VALUE"""),TRUE)</f>
        <v>1</v>
      </c>
      <c r="Q15" s="45" t="b">
        <f>IFERROR(__xludf.DUMMYFUNCTION("""COMPUTED_VALUE"""),FALSE)</f>
        <v>0</v>
      </c>
      <c r="R15" s="45" t="b">
        <f>IFERROR(__xludf.DUMMYFUNCTION("""COMPUTED_VALUE"""),FALSE)</f>
        <v>0</v>
      </c>
      <c r="S15" s="45"/>
      <c r="T15" s="45" t="b">
        <f>IFERROR(__xludf.DUMMYFUNCTION("""COMPUTED_VALUE"""),TRUE)</f>
        <v>1</v>
      </c>
      <c r="U15" s="45" t="b">
        <f>IFERROR(__xludf.DUMMYFUNCTION("""COMPUTED_VALUE"""),TRUE)</f>
        <v>1</v>
      </c>
      <c r="V15" s="45" t="b">
        <f>IFERROR(__xludf.DUMMYFUNCTION("""COMPUTED_VALUE"""),TRUE)</f>
        <v>1</v>
      </c>
      <c r="W15" s="45" t="b">
        <f>IFERROR(__xludf.DUMMYFUNCTION("""COMPUTED_VALUE"""),TRUE)</f>
        <v>1</v>
      </c>
      <c r="X15" s="45" t="b">
        <f>IFERROR(__xludf.DUMMYFUNCTION("""COMPUTED_VALUE"""),FALSE)</f>
        <v>0</v>
      </c>
      <c r="Y15" s="45" t="b">
        <f>IFERROR(__xludf.DUMMYFUNCTION("""COMPUTED_VALUE"""),FALSE)</f>
        <v>0</v>
      </c>
      <c r="Z15" s="45" t="b">
        <f>IFERROR(__xludf.DUMMYFUNCTION("""COMPUTED_VALUE"""),FALSE)</f>
        <v>0</v>
      </c>
      <c r="AA15" s="45" t="b">
        <f>IFERROR(__xludf.DUMMYFUNCTION("""COMPUTED_VALUE"""),FALSE)</f>
        <v>0</v>
      </c>
      <c r="AB15" s="45" t="b">
        <f>IFERROR(__xludf.DUMMYFUNCTION("""COMPUTED_VALUE"""),FALSE)</f>
        <v>0</v>
      </c>
      <c r="AC15" s="45" t="b">
        <f>IFERROR(__xludf.DUMMYFUNCTION("""COMPUTED_VALUE"""),TRUE)</f>
        <v>1</v>
      </c>
      <c r="AD15" s="45" t="b">
        <f>IFERROR(__xludf.DUMMYFUNCTION("""COMPUTED_VALUE"""),TRUE)</f>
        <v>1</v>
      </c>
      <c r="AE15" s="45" t="b">
        <f>IFERROR(__xludf.DUMMYFUNCTION("""COMPUTED_VALUE"""),TRUE)</f>
        <v>1</v>
      </c>
    </row>
    <row r="16">
      <c r="A16" s="6" t="b">
        <v>0</v>
      </c>
      <c r="B16" s="45" t="str">
        <f>IFERROR(__xludf.DUMMYFUNCTION("""COMPUTED_VALUE"""),"Tadpole")</f>
        <v>Tadpole</v>
      </c>
      <c r="C16" s="45">
        <f>IFERROR(__xludf.DUMMYFUNCTION("""COMPUTED_VALUE"""),100.0)</f>
        <v>100</v>
      </c>
      <c r="D16" s="45" t="str">
        <f>IFERROR(__xludf.DUMMYFUNCTION("""COMPUTED_VALUE"""),"All day")</f>
        <v>All day</v>
      </c>
      <c r="E16" s="45" t="str">
        <f>IFERROR(__xludf.DUMMYFUNCTION("""COMPUTED_VALUE"""),"Pond")</f>
        <v>Pond</v>
      </c>
      <c r="F16" s="45" t="str">
        <f>IFERROR(__xludf.DUMMYFUNCTION("""COMPUTED_VALUE"""),"Smallest")</f>
        <v>Smallest</v>
      </c>
      <c r="G16" s="45" t="b">
        <f>IFERROR(__xludf.DUMMYFUNCTION("""COMPUTED_VALUE"""),FALSE)</f>
        <v>0</v>
      </c>
      <c r="H16" s="45" t="b">
        <f>IFERROR(__xludf.DUMMYFUNCTION("""COMPUTED_VALUE"""),FALSE)</f>
        <v>0</v>
      </c>
      <c r="I16" s="45" t="b">
        <f>IFERROR(__xludf.DUMMYFUNCTION("""COMPUTED_VALUE"""),TRUE)</f>
        <v>1</v>
      </c>
      <c r="J16" s="45" t="b">
        <f>IFERROR(__xludf.DUMMYFUNCTION("""COMPUTED_VALUE"""),TRUE)</f>
        <v>1</v>
      </c>
      <c r="K16" s="45" t="b">
        <f>IFERROR(__xludf.DUMMYFUNCTION("""COMPUTED_VALUE"""),TRUE)</f>
        <v>1</v>
      </c>
      <c r="L16" s="45" t="b">
        <f>IFERROR(__xludf.DUMMYFUNCTION("""COMPUTED_VALUE"""),TRUE)</f>
        <v>1</v>
      </c>
      <c r="M16" s="45" t="b">
        <f>IFERROR(__xludf.DUMMYFUNCTION("""COMPUTED_VALUE"""),TRUE)</f>
        <v>1</v>
      </c>
      <c r="N16" s="45" t="b">
        <f>IFERROR(__xludf.DUMMYFUNCTION("""COMPUTED_VALUE"""),FALSE)</f>
        <v>0</v>
      </c>
      <c r="O16" s="45" t="b">
        <f>IFERROR(__xludf.DUMMYFUNCTION("""COMPUTED_VALUE"""),FALSE)</f>
        <v>0</v>
      </c>
      <c r="P16" s="45" t="b">
        <f>IFERROR(__xludf.DUMMYFUNCTION("""COMPUTED_VALUE"""),FALSE)</f>
        <v>0</v>
      </c>
      <c r="Q16" s="45" t="b">
        <f>IFERROR(__xludf.DUMMYFUNCTION("""COMPUTED_VALUE"""),FALSE)</f>
        <v>0</v>
      </c>
      <c r="R16" s="45" t="b">
        <f>IFERROR(__xludf.DUMMYFUNCTION("""COMPUTED_VALUE"""),FALSE)</f>
        <v>0</v>
      </c>
      <c r="S16" s="45"/>
      <c r="T16" s="45" t="b">
        <f>IFERROR(__xludf.DUMMYFUNCTION("""COMPUTED_VALUE"""),TRUE)</f>
        <v>1</v>
      </c>
      <c r="U16" s="45" t="b">
        <f>IFERROR(__xludf.DUMMYFUNCTION("""COMPUTED_VALUE"""),FALSE)</f>
        <v>0</v>
      </c>
      <c r="V16" s="45" t="b">
        <f>IFERROR(__xludf.DUMMYFUNCTION("""COMPUTED_VALUE"""),FALSE)</f>
        <v>0</v>
      </c>
      <c r="W16" s="45" t="b">
        <f>IFERROR(__xludf.DUMMYFUNCTION("""COMPUTED_VALUE"""),FALSE)</f>
        <v>0</v>
      </c>
      <c r="X16" s="45" t="b">
        <f>IFERROR(__xludf.DUMMYFUNCTION("""COMPUTED_VALUE"""),FALSE)</f>
        <v>0</v>
      </c>
      <c r="Y16" s="45" t="b">
        <f>IFERROR(__xludf.DUMMYFUNCTION("""COMPUTED_VALUE"""),FALSE)</f>
        <v>0</v>
      </c>
      <c r="Z16" s="45" t="b">
        <f>IFERROR(__xludf.DUMMYFUNCTION("""COMPUTED_VALUE"""),FALSE)</f>
        <v>0</v>
      </c>
      <c r="AA16" s="45" t="b">
        <f>IFERROR(__xludf.DUMMYFUNCTION("""COMPUTED_VALUE"""),FALSE)</f>
        <v>0</v>
      </c>
      <c r="AB16" s="45" t="b">
        <f>IFERROR(__xludf.DUMMYFUNCTION("""COMPUTED_VALUE"""),TRUE)</f>
        <v>1</v>
      </c>
      <c r="AC16" s="45" t="b">
        <f>IFERROR(__xludf.DUMMYFUNCTION("""COMPUTED_VALUE"""),TRUE)</f>
        <v>1</v>
      </c>
      <c r="AD16" s="45" t="b">
        <f>IFERROR(__xludf.DUMMYFUNCTION("""COMPUTED_VALUE"""),TRUE)</f>
        <v>1</v>
      </c>
      <c r="AE16" s="45" t="b">
        <f>IFERROR(__xludf.DUMMYFUNCTION("""COMPUTED_VALUE"""),TRUE)</f>
        <v>1</v>
      </c>
    </row>
    <row r="17">
      <c r="A17" s="6" t="b">
        <v>0</v>
      </c>
      <c r="B17" s="45" t="str">
        <f>IFERROR(__xludf.DUMMYFUNCTION("""COMPUTED_VALUE"""),"Frog")</f>
        <v>Frog</v>
      </c>
      <c r="C17" s="45">
        <f>IFERROR(__xludf.DUMMYFUNCTION("""COMPUTED_VALUE"""),120.0)</f>
        <v>120</v>
      </c>
      <c r="D17" s="45" t="str">
        <f>IFERROR(__xludf.DUMMYFUNCTION("""COMPUTED_VALUE"""),"All day")</f>
        <v>All day</v>
      </c>
      <c r="E17" s="45" t="str">
        <f>IFERROR(__xludf.DUMMYFUNCTION("""COMPUTED_VALUE"""),"Pond")</f>
        <v>Pond</v>
      </c>
      <c r="F17" s="45" t="str">
        <f>IFERROR(__xludf.DUMMYFUNCTION("""COMPUTED_VALUE"""),"Small")</f>
        <v>Small</v>
      </c>
      <c r="G17" s="45" t="b">
        <f>IFERROR(__xludf.DUMMYFUNCTION("""COMPUTED_VALUE"""),FALSE)</f>
        <v>0</v>
      </c>
      <c r="H17" s="45" t="b">
        <f>IFERROR(__xludf.DUMMYFUNCTION("""COMPUTED_VALUE"""),FALSE)</f>
        <v>0</v>
      </c>
      <c r="I17" s="45" t="b">
        <f>IFERROR(__xludf.DUMMYFUNCTION("""COMPUTED_VALUE"""),FALSE)</f>
        <v>0</v>
      </c>
      <c r="J17" s="45" t="b">
        <f>IFERROR(__xludf.DUMMYFUNCTION("""COMPUTED_VALUE"""),FALSE)</f>
        <v>0</v>
      </c>
      <c r="K17" s="45" t="b">
        <f>IFERROR(__xludf.DUMMYFUNCTION("""COMPUTED_VALUE"""),TRUE)</f>
        <v>1</v>
      </c>
      <c r="L17" s="45" t="b">
        <f>IFERROR(__xludf.DUMMYFUNCTION("""COMPUTED_VALUE"""),TRUE)</f>
        <v>1</v>
      </c>
      <c r="M17" s="45" t="b">
        <f>IFERROR(__xludf.DUMMYFUNCTION("""COMPUTED_VALUE"""),TRUE)</f>
        <v>1</v>
      </c>
      <c r="N17" s="45" t="b">
        <f>IFERROR(__xludf.DUMMYFUNCTION("""COMPUTED_VALUE"""),TRUE)</f>
        <v>1</v>
      </c>
      <c r="O17" s="45" t="b">
        <f>IFERROR(__xludf.DUMMYFUNCTION("""COMPUTED_VALUE"""),FALSE)</f>
        <v>0</v>
      </c>
      <c r="P17" s="45" t="b">
        <f>IFERROR(__xludf.DUMMYFUNCTION("""COMPUTED_VALUE"""),FALSE)</f>
        <v>0</v>
      </c>
      <c r="Q17" s="45" t="b">
        <f>IFERROR(__xludf.DUMMYFUNCTION("""COMPUTED_VALUE"""),FALSE)</f>
        <v>0</v>
      </c>
      <c r="R17" s="45" t="b">
        <f>IFERROR(__xludf.DUMMYFUNCTION("""COMPUTED_VALUE"""),FALSE)</f>
        <v>0</v>
      </c>
      <c r="S17" s="45"/>
      <c r="T17" s="45" t="b">
        <f>IFERROR(__xludf.DUMMYFUNCTION("""COMPUTED_VALUE"""),TRUE)</f>
        <v>1</v>
      </c>
      <c r="U17" s="45" t="b">
        <f>IFERROR(__xludf.DUMMYFUNCTION("""COMPUTED_VALUE"""),TRUE)</f>
        <v>1</v>
      </c>
      <c r="V17" s="45" t="b">
        <f>IFERROR(__xludf.DUMMYFUNCTION("""COMPUTED_VALUE"""),FALSE)</f>
        <v>0</v>
      </c>
      <c r="W17" s="45" t="b">
        <f>IFERROR(__xludf.DUMMYFUNCTION("""COMPUTED_VALUE"""),FALSE)</f>
        <v>0</v>
      </c>
      <c r="X17" s="45" t="b">
        <f>IFERROR(__xludf.DUMMYFUNCTION("""COMPUTED_VALUE"""),FALSE)</f>
        <v>0</v>
      </c>
      <c r="Y17" s="45" t="b">
        <f>IFERROR(__xludf.DUMMYFUNCTION("""COMPUTED_VALUE"""),FALSE)</f>
        <v>0</v>
      </c>
      <c r="Z17" s="45" t="b">
        <f>IFERROR(__xludf.DUMMYFUNCTION("""COMPUTED_VALUE"""),FALSE)</f>
        <v>0</v>
      </c>
      <c r="AA17" s="45" t="b">
        <f>IFERROR(__xludf.DUMMYFUNCTION("""COMPUTED_VALUE"""),FALSE)</f>
        <v>0</v>
      </c>
      <c r="AB17" s="45" t="b">
        <f>IFERROR(__xludf.DUMMYFUNCTION("""COMPUTED_VALUE"""),FALSE)</f>
        <v>0</v>
      </c>
      <c r="AC17" s="45" t="b">
        <f>IFERROR(__xludf.DUMMYFUNCTION("""COMPUTED_VALUE"""),FALSE)</f>
        <v>0</v>
      </c>
      <c r="AD17" s="45" t="b">
        <f>IFERROR(__xludf.DUMMYFUNCTION("""COMPUTED_VALUE"""),TRUE)</f>
        <v>1</v>
      </c>
      <c r="AE17" s="45" t="b">
        <f>IFERROR(__xludf.DUMMYFUNCTION("""COMPUTED_VALUE"""),TRUE)</f>
        <v>1</v>
      </c>
    </row>
    <row r="18">
      <c r="A18" s="6" t="b">
        <v>0</v>
      </c>
      <c r="B18" s="45" t="str">
        <f>IFERROR(__xludf.DUMMYFUNCTION("""COMPUTED_VALUE"""),"Freshwater goby")</f>
        <v>Freshwater goby</v>
      </c>
      <c r="C18" s="45">
        <f>IFERROR(__xludf.DUMMYFUNCTION("""COMPUTED_VALUE"""),400.0)</f>
        <v>400</v>
      </c>
      <c r="D18" s="45" t="str">
        <f>IFERROR(__xludf.DUMMYFUNCTION("""COMPUTED_VALUE"""),"4 p.m. - 9 a.m.")</f>
        <v>4 p.m. - 9 a.m.</v>
      </c>
      <c r="E18" s="45" t="str">
        <f>IFERROR(__xludf.DUMMYFUNCTION("""COMPUTED_VALUE"""),"River")</f>
        <v>River</v>
      </c>
      <c r="F18" s="45" t="str">
        <f>IFERROR(__xludf.DUMMYFUNCTION("""COMPUTED_VALUE"""),"Small")</f>
        <v>Small</v>
      </c>
      <c r="G18" s="45" t="b">
        <f>IFERROR(__xludf.DUMMYFUNCTION("""COMPUTED_VALUE"""),TRUE)</f>
        <v>1</v>
      </c>
      <c r="H18" s="45" t="b">
        <f>IFERROR(__xludf.DUMMYFUNCTION("""COMPUTED_VALUE"""),TRUE)</f>
        <v>1</v>
      </c>
      <c r="I18" s="45" t="b">
        <f>IFERROR(__xludf.DUMMYFUNCTION("""COMPUTED_VALUE"""),TRUE)</f>
        <v>1</v>
      </c>
      <c r="J18" s="45" t="b">
        <f>IFERROR(__xludf.DUMMYFUNCTION("""COMPUTED_VALUE"""),TRUE)</f>
        <v>1</v>
      </c>
      <c r="K18" s="45" t="b">
        <f>IFERROR(__xludf.DUMMYFUNCTION("""COMPUTED_VALUE"""),TRUE)</f>
        <v>1</v>
      </c>
      <c r="L18" s="45" t="b">
        <f>IFERROR(__xludf.DUMMYFUNCTION("""COMPUTED_VALUE"""),TRUE)</f>
        <v>1</v>
      </c>
      <c r="M18" s="45" t="b">
        <f>IFERROR(__xludf.DUMMYFUNCTION("""COMPUTED_VALUE"""),TRUE)</f>
        <v>1</v>
      </c>
      <c r="N18" s="45" t="b">
        <f>IFERROR(__xludf.DUMMYFUNCTION("""COMPUTED_VALUE"""),TRUE)</f>
        <v>1</v>
      </c>
      <c r="O18" s="45" t="b">
        <f>IFERROR(__xludf.DUMMYFUNCTION("""COMPUTED_VALUE"""),TRUE)</f>
        <v>1</v>
      </c>
      <c r="P18" s="45" t="b">
        <f>IFERROR(__xludf.DUMMYFUNCTION("""COMPUTED_VALUE"""),TRUE)</f>
        <v>1</v>
      </c>
      <c r="Q18" s="45" t="b">
        <f>IFERROR(__xludf.DUMMYFUNCTION("""COMPUTED_VALUE"""),TRUE)</f>
        <v>1</v>
      </c>
      <c r="R18" s="45" t="b">
        <f>IFERROR(__xludf.DUMMYFUNCTION("""COMPUTED_VALUE"""),TRUE)</f>
        <v>1</v>
      </c>
      <c r="S18" s="45"/>
      <c r="T18" s="45" t="b">
        <f>IFERROR(__xludf.DUMMYFUNCTION("""COMPUTED_VALUE"""),TRUE)</f>
        <v>1</v>
      </c>
      <c r="U18" s="45" t="b">
        <f>IFERROR(__xludf.DUMMYFUNCTION("""COMPUTED_VALUE"""),TRUE)</f>
        <v>1</v>
      </c>
      <c r="V18" s="45" t="b">
        <f>IFERROR(__xludf.DUMMYFUNCTION("""COMPUTED_VALUE"""),TRUE)</f>
        <v>1</v>
      </c>
      <c r="W18" s="45" t="b">
        <f>IFERROR(__xludf.DUMMYFUNCTION("""COMPUTED_VALUE"""),TRUE)</f>
        <v>1</v>
      </c>
      <c r="X18" s="45" t="b">
        <f>IFERROR(__xludf.DUMMYFUNCTION("""COMPUTED_VALUE"""),TRUE)</f>
        <v>1</v>
      </c>
      <c r="Y18" s="45" t="b">
        <f>IFERROR(__xludf.DUMMYFUNCTION("""COMPUTED_VALUE"""),TRUE)</f>
        <v>1</v>
      </c>
      <c r="Z18" s="45" t="b">
        <f>IFERROR(__xludf.DUMMYFUNCTION("""COMPUTED_VALUE"""),TRUE)</f>
        <v>1</v>
      </c>
      <c r="AA18" s="45" t="b">
        <f>IFERROR(__xludf.DUMMYFUNCTION("""COMPUTED_VALUE"""),TRUE)</f>
        <v>1</v>
      </c>
      <c r="AB18" s="45" t="b">
        <f>IFERROR(__xludf.DUMMYFUNCTION("""COMPUTED_VALUE"""),TRUE)</f>
        <v>1</v>
      </c>
      <c r="AC18" s="45" t="b">
        <f>IFERROR(__xludf.DUMMYFUNCTION("""COMPUTED_VALUE"""),TRUE)</f>
        <v>1</v>
      </c>
      <c r="AD18" s="45" t="b">
        <f>IFERROR(__xludf.DUMMYFUNCTION("""COMPUTED_VALUE"""),TRUE)</f>
        <v>1</v>
      </c>
      <c r="AE18" s="45" t="b">
        <f>IFERROR(__xludf.DUMMYFUNCTION("""COMPUTED_VALUE"""),TRUE)</f>
        <v>1</v>
      </c>
    </row>
    <row r="19">
      <c r="A19" s="6" t="b">
        <v>0</v>
      </c>
      <c r="B19" s="45" t="str">
        <f>IFERROR(__xludf.DUMMYFUNCTION("""COMPUTED_VALUE"""),"Loach")</f>
        <v>Loach</v>
      </c>
      <c r="C19" s="45">
        <f>IFERROR(__xludf.DUMMYFUNCTION("""COMPUTED_VALUE"""),400.0)</f>
        <v>400</v>
      </c>
      <c r="D19" s="45" t="str">
        <f>IFERROR(__xludf.DUMMYFUNCTION("""COMPUTED_VALUE"""),"All day")</f>
        <v>All day</v>
      </c>
      <c r="E19" s="45" t="str">
        <f>IFERROR(__xludf.DUMMYFUNCTION("""COMPUTED_VALUE"""),"River")</f>
        <v>River</v>
      </c>
      <c r="F19" s="45" t="str">
        <f>IFERROR(__xludf.DUMMYFUNCTION("""COMPUTED_VALUE"""),"Small")</f>
        <v>Small</v>
      </c>
      <c r="G19" s="45" t="b">
        <f>IFERROR(__xludf.DUMMYFUNCTION("""COMPUTED_VALUE"""),FALSE)</f>
        <v>0</v>
      </c>
      <c r="H19" s="45" t="b">
        <f>IFERROR(__xludf.DUMMYFUNCTION("""COMPUTED_VALUE"""),FALSE)</f>
        <v>0</v>
      </c>
      <c r="I19" s="45" t="b">
        <f>IFERROR(__xludf.DUMMYFUNCTION("""COMPUTED_VALUE"""),TRUE)</f>
        <v>1</v>
      </c>
      <c r="J19" s="45" t="b">
        <f>IFERROR(__xludf.DUMMYFUNCTION("""COMPUTED_VALUE"""),TRUE)</f>
        <v>1</v>
      </c>
      <c r="K19" s="45" t="b">
        <f>IFERROR(__xludf.DUMMYFUNCTION("""COMPUTED_VALUE"""),TRUE)</f>
        <v>1</v>
      </c>
      <c r="L19" s="45" t="b">
        <f>IFERROR(__xludf.DUMMYFUNCTION("""COMPUTED_VALUE"""),FALSE)</f>
        <v>0</v>
      </c>
      <c r="M19" s="45" t="b">
        <f>IFERROR(__xludf.DUMMYFUNCTION("""COMPUTED_VALUE"""),FALSE)</f>
        <v>0</v>
      </c>
      <c r="N19" s="45" t="b">
        <f>IFERROR(__xludf.DUMMYFUNCTION("""COMPUTED_VALUE"""),FALSE)</f>
        <v>0</v>
      </c>
      <c r="O19" s="45" t="b">
        <f>IFERROR(__xludf.DUMMYFUNCTION("""COMPUTED_VALUE"""),FALSE)</f>
        <v>0</v>
      </c>
      <c r="P19" s="45" t="b">
        <f>IFERROR(__xludf.DUMMYFUNCTION("""COMPUTED_VALUE"""),FALSE)</f>
        <v>0</v>
      </c>
      <c r="Q19" s="45" t="b">
        <f>IFERROR(__xludf.DUMMYFUNCTION("""COMPUTED_VALUE"""),FALSE)</f>
        <v>0</v>
      </c>
      <c r="R19" s="45" t="b">
        <f>IFERROR(__xludf.DUMMYFUNCTION("""COMPUTED_VALUE"""),FALSE)</f>
        <v>0</v>
      </c>
      <c r="S19" s="45"/>
      <c r="T19" s="45" t="b">
        <f>IFERROR(__xludf.DUMMYFUNCTION("""COMPUTED_VALUE"""),FALSE)</f>
        <v>0</v>
      </c>
      <c r="U19" s="45" t="b">
        <f>IFERROR(__xludf.DUMMYFUNCTION("""COMPUTED_VALUE"""),FALSE)</f>
        <v>0</v>
      </c>
      <c r="V19" s="45" t="b">
        <f>IFERROR(__xludf.DUMMYFUNCTION("""COMPUTED_VALUE"""),FALSE)</f>
        <v>0</v>
      </c>
      <c r="W19" s="45" t="b">
        <f>IFERROR(__xludf.DUMMYFUNCTION("""COMPUTED_VALUE"""),FALSE)</f>
        <v>0</v>
      </c>
      <c r="X19" s="45" t="b">
        <f>IFERROR(__xludf.DUMMYFUNCTION("""COMPUTED_VALUE"""),FALSE)</f>
        <v>0</v>
      </c>
      <c r="Y19" s="45" t="b">
        <f>IFERROR(__xludf.DUMMYFUNCTION("""COMPUTED_VALUE"""),FALSE)</f>
        <v>0</v>
      </c>
      <c r="Z19" s="45" t="b">
        <f>IFERROR(__xludf.DUMMYFUNCTION("""COMPUTED_VALUE"""),FALSE)</f>
        <v>0</v>
      </c>
      <c r="AA19" s="45" t="b">
        <f>IFERROR(__xludf.DUMMYFUNCTION("""COMPUTED_VALUE"""),FALSE)</f>
        <v>0</v>
      </c>
      <c r="AB19" s="45" t="b">
        <f>IFERROR(__xludf.DUMMYFUNCTION("""COMPUTED_VALUE"""),TRUE)</f>
        <v>1</v>
      </c>
      <c r="AC19" s="45" t="b">
        <f>IFERROR(__xludf.DUMMYFUNCTION("""COMPUTED_VALUE"""),TRUE)</f>
        <v>1</v>
      </c>
      <c r="AD19" s="45" t="b">
        <f>IFERROR(__xludf.DUMMYFUNCTION("""COMPUTED_VALUE"""),TRUE)</f>
        <v>1</v>
      </c>
      <c r="AE19" s="45" t="b">
        <f>IFERROR(__xludf.DUMMYFUNCTION("""COMPUTED_VALUE"""),FALSE)</f>
        <v>0</v>
      </c>
    </row>
    <row r="20">
      <c r="A20" s="6" t="b">
        <v>0</v>
      </c>
      <c r="B20" s="45" t="str">
        <f>IFERROR(__xludf.DUMMYFUNCTION("""COMPUTED_VALUE"""),"Catfish")</f>
        <v>Catfish</v>
      </c>
      <c r="C20" s="45">
        <f>IFERROR(__xludf.DUMMYFUNCTION("""COMPUTED_VALUE"""),800.0)</f>
        <v>800</v>
      </c>
      <c r="D20" s="45" t="str">
        <f>IFERROR(__xludf.DUMMYFUNCTION("""COMPUTED_VALUE"""),"4 p.m. - 9 a.m.")</f>
        <v>4 p.m. - 9 a.m.</v>
      </c>
      <c r="E20" s="45" t="str">
        <f>IFERROR(__xludf.DUMMYFUNCTION("""COMPUTED_VALUE"""),"Pond")</f>
        <v>Pond</v>
      </c>
      <c r="F20" s="45" t="str">
        <f>IFERROR(__xludf.DUMMYFUNCTION("""COMPUTED_VALUE"""),"Large")</f>
        <v>Large</v>
      </c>
      <c r="G20" s="45" t="b">
        <f>IFERROR(__xludf.DUMMYFUNCTION("""COMPUTED_VALUE"""),FALSE)</f>
        <v>0</v>
      </c>
      <c r="H20" s="45" t="b">
        <f>IFERROR(__xludf.DUMMYFUNCTION("""COMPUTED_VALUE"""),FALSE)</f>
        <v>0</v>
      </c>
      <c r="I20" s="45" t="b">
        <f>IFERROR(__xludf.DUMMYFUNCTION("""COMPUTED_VALUE"""),FALSE)</f>
        <v>0</v>
      </c>
      <c r="J20" s="45" t="b">
        <f>IFERROR(__xludf.DUMMYFUNCTION("""COMPUTED_VALUE"""),FALSE)</f>
        <v>0</v>
      </c>
      <c r="K20" s="45" t="b">
        <f>IFERROR(__xludf.DUMMYFUNCTION("""COMPUTED_VALUE"""),TRUE)</f>
        <v>1</v>
      </c>
      <c r="L20" s="45" t="b">
        <f>IFERROR(__xludf.DUMMYFUNCTION("""COMPUTED_VALUE"""),TRUE)</f>
        <v>1</v>
      </c>
      <c r="M20" s="45" t="b">
        <f>IFERROR(__xludf.DUMMYFUNCTION("""COMPUTED_VALUE"""),TRUE)</f>
        <v>1</v>
      </c>
      <c r="N20" s="45" t="b">
        <f>IFERROR(__xludf.DUMMYFUNCTION("""COMPUTED_VALUE"""),TRUE)</f>
        <v>1</v>
      </c>
      <c r="O20" s="45" t="b">
        <f>IFERROR(__xludf.DUMMYFUNCTION("""COMPUTED_VALUE"""),TRUE)</f>
        <v>1</v>
      </c>
      <c r="P20" s="45" t="b">
        <f>IFERROR(__xludf.DUMMYFUNCTION("""COMPUTED_VALUE"""),TRUE)</f>
        <v>1</v>
      </c>
      <c r="Q20" s="45" t="b">
        <f>IFERROR(__xludf.DUMMYFUNCTION("""COMPUTED_VALUE"""),FALSE)</f>
        <v>0</v>
      </c>
      <c r="R20" s="45" t="b">
        <f>IFERROR(__xludf.DUMMYFUNCTION("""COMPUTED_VALUE"""),FALSE)</f>
        <v>0</v>
      </c>
      <c r="S20" s="45"/>
      <c r="T20" s="45" t="b">
        <f>IFERROR(__xludf.DUMMYFUNCTION("""COMPUTED_VALUE"""),TRUE)</f>
        <v>1</v>
      </c>
      <c r="U20" s="45" t="b">
        <f>IFERROR(__xludf.DUMMYFUNCTION("""COMPUTED_VALUE"""),TRUE)</f>
        <v>1</v>
      </c>
      <c r="V20" s="45" t="b">
        <f>IFERROR(__xludf.DUMMYFUNCTION("""COMPUTED_VALUE"""),TRUE)</f>
        <v>1</v>
      </c>
      <c r="W20" s="45" t="b">
        <f>IFERROR(__xludf.DUMMYFUNCTION("""COMPUTED_VALUE"""),TRUE)</f>
        <v>1</v>
      </c>
      <c r="X20" s="45" t="b">
        <f>IFERROR(__xludf.DUMMYFUNCTION("""COMPUTED_VALUE"""),FALSE)</f>
        <v>0</v>
      </c>
      <c r="Y20" s="45" t="b">
        <f>IFERROR(__xludf.DUMMYFUNCTION("""COMPUTED_VALUE"""),FALSE)</f>
        <v>0</v>
      </c>
      <c r="Z20" s="45" t="b">
        <f>IFERROR(__xludf.DUMMYFUNCTION("""COMPUTED_VALUE"""),FALSE)</f>
        <v>0</v>
      </c>
      <c r="AA20" s="45" t="b">
        <f>IFERROR(__xludf.DUMMYFUNCTION("""COMPUTED_VALUE"""),FALSE)</f>
        <v>0</v>
      </c>
      <c r="AB20" s="45" t="b">
        <f>IFERROR(__xludf.DUMMYFUNCTION("""COMPUTED_VALUE"""),FALSE)</f>
        <v>0</v>
      </c>
      <c r="AC20" s="45" t="b">
        <f>IFERROR(__xludf.DUMMYFUNCTION("""COMPUTED_VALUE"""),FALSE)</f>
        <v>0</v>
      </c>
      <c r="AD20" s="45" t="b">
        <f>IFERROR(__xludf.DUMMYFUNCTION("""COMPUTED_VALUE"""),TRUE)</f>
        <v>1</v>
      </c>
      <c r="AE20" s="45" t="b">
        <f>IFERROR(__xludf.DUMMYFUNCTION("""COMPUTED_VALUE"""),TRUE)</f>
        <v>1</v>
      </c>
    </row>
    <row r="21">
      <c r="A21" s="6" t="b">
        <v>0</v>
      </c>
      <c r="B21" s="45" t="str">
        <f>IFERROR(__xludf.DUMMYFUNCTION("""COMPUTED_VALUE"""),"Giant snakehead")</f>
        <v>Giant snakehead</v>
      </c>
      <c r="C21" s="45">
        <f>IFERROR(__xludf.DUMMYFUNCTION("""COMPUTED_VALUE"""),5500.0)</f>
        <v>5500</v>
      </c>
      <c r="D21" s="45" t="str">
        <f>IFERROR(__xludf.DUMMYFUNCTION("""COMPUTED_VALUE"""),"9 a.m. - 4 p.m.")</f>
        <v>9 a.m. - 4 p.m.</v>
      </c>
      <c r="E21" s="45" t="str">
        <f>IFERROR(__xludf.DUMMYFUNCTION("""COMPUTED_VALUE"""),"Pond")</f>
        <v>Pond</v>
      </c>
      <c r="F21" s="45" t="str">
        <f>IFERROR(__xludf.DUMMYFUNCTION("""COMPUTED_VALUE"""),"X Large")</f>
        <v>X Large</v>
      </c>
      <c r="G21" s="45" t="b">
        <f>IFERROR(__xludf.DUMMYFUNCTION("""COMPUTED_VALUE"""),FALSE)</f>
        <v>0</v>
      </c>
      <c r="H21" s="45" t="b">
        <f>IFERROR(__xludf.DUMMYFUNCTION("""COMPUTED_VALUE"""),FALSE)</f>
        <v>0</v>
      </c>
      <c r="I21" s="45" t="b">
        <f>IFERROR(__xludf.DUMMYFUNCTION("""COMPUTED_VALUE"""),FALSE)</f>
        <v>0</v>
      </c>
      <c r="J21" s="45" t="b">
        <f>IFERROR(__xludf.DUMMYFUNCTION("""COMPUTED_VALUE"""),FALSE)</f>
        <v>0</v>
      </c>
      <c r="K21" s="45" t="b">
        <f>IFERROR(__xludf.DUMMYFUNCTION("""COMPUTED_VALUE"""),FALSE)</f>
        <v>0</v>
      </c>
      <c r="L21" s="45" t="b">
        <f>IFERROR(__xludf.DUMMYFUNCTION("""COMPUTED_VALUE"""),TRUE)</f>
        <v>1</v>
      </c>
      <c r="M21" s="45" t="b">
        <f>IFERROR(__xludf.DUMMYFUNCTION("""COMPUTED_VALUE"""),TRUE)</f>
        <v>1</v>
      </c>
      <c r="N21" s="45" t="b">
        <f>IFERROR(__xludf.DUMMYFUNCTION("""COMPUTED_VALUE"""),TRUE)</f>
        <v>1</v>
      </c>
      <c r="O21" s="45" t="b">
        <f>IFERROR(__xludf.DUMMYFUNCTION("""COMPUTED_VALUE"""),FALSE)</f>
        <v>0</v>
      </c>
      <c r="P21" s="45" t="b">
        <f>IFERROR(__xludf.DUMMYFUNCTION("""COMPUTED_VALUE"""),FALSE)</f>
        <v>0</v>
      </c>
      <c r="Q21" s="45" t="b">
        <f>IFERROR(__xludf.DUMMYFUNCTION("""COMPUTED_VALUE"""),FALSE)</f>
        <v>0</v>
      </c>
      <c r="R21" s="45" t="b">
        <f>IFERROR(__xludf.DUMMYFUNCTION("""COMPUTED_VALUE"""),FALSE)</f>
        <v>0</v>
      </c>
      <c r="S21" s="45"/>
      <c r="T21" s="45" t="b">
        <f>IFERROR(__xludf.DUMMYFUNCTION("""COMPUTED_VALUE"""),TRUE)</f>
        <v>1</v>
      </c>
      <c r="U21" s="45" t="b">
        <f>IFERROR(__xludf.DUMMYFUNCTION("""COMPUTED_VALUE"""),TRUE)</f>
        <v>1</v>
      </c>
      <c r="V21" s="45" t="b">
        <f>IFERROR(__xludf.DUMMYFUNCTION("""COMPUTED_VALUE"""),FALSE)</f>
        <v>0</v>
      </c>
      <c r="W21" s="45" t="b">
        <f>IFERROR(__xludf.DUMMYFUNCTION("""COMPUTED_VALUE"""),FALSE)</f>
        <v>0</v>
      </c>
      <c r="X21" s="45" t="b">
        <f>IFERROR(__xludf.DUMMYFUNCTION("""COMPUTED_VALUE"""),FALSE)</f>
        <v>0</v>
      </c>
      <c r="Y21" s="45" t="b">
        <f>IFERROR(__xludf.DUMMYFUNCTION("""COMPUTED_VALUE"""),FALSE)</f>
        <v>0</v>
      </c>
      <c r="Z21" s="45" t="b">
        <f>IFERROR(__xludf.DUMMYFUNCTION("""COMPUTED_VALUE"""),FALSE)</f>
        <v>0</v>
      </c>
      <c r="AA21" s="45" t="b">
        <f>IFERROR(__xludf.DUMMYFUNCTION("""COMPUTED_VALUE"""),FALSE)</f>
        <v>0</v>
      </c>
      <c r="AB21" s="45" t="b">
        <f>IFERROR(__xludf.DUMMYFUNCTION("""COMPUTED_VALUE"""),FALSE)</f>
        <v>0</v>
      </c>
      <c r="AC21" s="45" t="b">
        <f>IFERROR(__xludf.DUMMYFUNCTION("""COMPUTED_VALUE"""),FALSE)</f>
        <v>0</v>
      </c>
      <c r="AD21" s="45" t="b">
        <f>IFERROR(__xludf.DUMMYFUNCTION("""COMPUTED_VALUE"""),FALSE)</f>
        <v>0</v>
      </c>
      <c r="AE21" s="45" t="b">
        <f>IFERROR(__xludf.DUMMYFUNCTION("""COMPUTED_VALUE"""),TRUE)</f>
        <v>1</v>
      </c>
    </row>
    <row r="22">
      <c r="A22" s="6" t="b">
        <v>0</v>
      </c>
      <c r="B22" s="45" t="str">
        <f>IFERROR(__xludf.DUMMYFUNCTION("""COMPUTED_VALUE"""),"Bluegill")</f>
        <v>Bluegill</v>
      </c>
      <c r="C22" s="45">
        <f>IFERROR(__xludf.DUMMYFUNCTION("""COMPUTED_VALUE"""),180.0)</f>
        <v>180</v>
      </c>
      <c r="D22" s="45" t="str">
        <f>IFERROR(__xludf.DUMMYFUNCTION("""COMPUTED_VALUE"""),"9 a.m. - 4 p.m.")</f>
        <v>9 a.m. - 4 p.m.</v>
      </c>
      <c r="E22" s="45" t="str">
        <f>IFERROR(__xludf.DUMMYFUNCTION("""COMPUTED_VALUE"""),"River")</f>
        <v>River</v>
      </c>
      <c r="F22" s="45" t="str">
        <f>IFERROR(__xludf.DUMMYFUNCTION("""COMPUTED_VALUE"""),"Small")</f>
        <v>Small</v>
      </c>
      <c r="G22" s="45" t="b">
        <f>IFERROR(__xludf.DUMMYFUNCTION("""COMPUTED_VALUE"""),TRUE)</f>
        <v>1</v>
      </c>
      <c r="H22" s="45" t="b">
        <f>IFERROR(__xludf.DUMMYFUNCTION("""COMPUTED_VALUE"""),TRUE)</f>
        <v>1</v>
      </c>
      <c r="I22" s="45" t="b">
        <f>IFERROR(__xludf.DUMMYFUNCTION("""COMPUTED_VALUE"""),TRUE)</f>
        <v>1</v>
      </c>
      <c r="J22" s="45" t="b">
        <f>IFERROR(__xludf.DUMMYFUNCTION("""COMPUTED_VALUE"""),TRUE)</f>
        <v>1</v>
      </c>
      <c r="K22" s="45" t="b">
        <f>IFERROR(__xludf.DUMMYFUNCTION("""COMPUTED_VALUE"""),TRUE)</f>
        <v>1</v>
      </c>
      <c r="L22" s="45" t="b">
        <f>IFERROR(__xludf.DUMMYFUNCTION("""COMPUTED_VALUE"""),TRUE)</f>
        <v>1</v>
      </c>
      <c r="M22" s="45" t="b">
        <f>IFERROR(__xludf.DUMMYFUNCTION("""COMPUTED_VALUE"""),TRUE)</f>
        <v>1</v>
      </c>
      <c r="N22" s="45" t="b">
        <f>IFERROR(__xludf.DUMMYFUNCTION("""COMPUTED_VALUE"""),TRUE)</f>
        <v>1</v>
      </c>
      <c r="O22" s="45" t="b">
        <f>IFERROR(__xludf.DUMMYFUNCTION("""COMPUTED_VALUE"""),TRUE)</f>
        <v>1</v>
      </c>
      <c r="P22" s="45" t="b">
        <f>IFERROR(__xludf.DUMMYFUNCTION("""COMPUTED_VALUE"""),TRUE)</f>
        <v>1</v>
      </c>
      <c r="Q22" s="45" t="b">
        <f>IFERROR(__xludf.DUMMYFUNCTION("""COMPUTED_VALUE"""),TRUE)</f>
        <v>1</v>
      </c>
      <c r="R22" s="45" t="b">
        <f>IFERROR(__xludf.DUMMYFUNCTION("""COMPUTED_VALUE"""),TRUE)</f>
        <v>1</v>
      </c>
      <c r="S22" s="45"/>
      <c r="T22" s="45" t="b">
        <f>IFERROR(__xludf.DUMMYFUNCTION("""COMPUTED_VALUE"""),TRUE)</f>
        <v>1</v>
      </c>
      <c r="U22" s="45" t="b">
        <f>IFERROR(__xludf.DUMMYFUNCTION("""COMPUTED_VALUE"""),TRUE)</f>
        <v>1</v>
      </c>
      <c r="V22" s="45" t="b">
        <f>IFERROR(__xludf.DUMMYFUNCTION("""COMPUTED_VALUE"""),TRUE)</f>
        <v>1</v>
      </c>
      <c r="W22" s="45" t="b">
        <f>IFERROR(__xludf.DUMMYFUNCTION("""COMPUTED_VALUE"""),TRUE)</f>
        <v>1</v>
      </c>
      <c r="X22" s="45" t="b">
        <f>IFERROR(__xludf.DUMMYFUNCTION("""COMPUTED_VALUE"""),TRUE)</f>
        <v>1</v>
      </c>
      <c r="Y22" s="45" t="b">
        <f>IFERROR(__xludf.DUMMYFUNCTION("""COMPUTED_VALUE"""),TRUE)</f>
        <v>1</v>
      </c>
      <c r="Z22" s="45" t="b">
        <f>IFERROR(__xludf.DUMMYFUNCTION("""COMPUTED_VALUE"""),TRUE)</f>
        <v>1</v>
      </c>
      <c r="AA22" s="45" t="b">
        <f>IFERROR(__xludf.DUMMYFUNCTION("""COMPUTED_VALUE"""),TRUE)</f>
        <v>1</v>
      </c>
      <c r="AB22" s="45" t="b">
        <f>IFERROR(__xludf.DUMMYFUNCTION("""COMPUTED_VALUE"""),TRUE)</f>
        <v>1</v>
      </c>
      <c r="AC22" s="45" t="b">
        <f>IFERROR(__xludf.DUMMYFUNCTION("""COMPUTED_VALUE"""),TRUE)</f>
        <v>1</v>
      </c>
      <c r="AD22" s="45" t="b">
        <f>IFERROR(__xludf.DUMMYFUNCTION("""COMPUTED_VALUE"""),TRUE)</f>
        <v>1</v>
      </c>
      <c r="AE22" s="45" t="b">
        <f>IFERROR(__xludf.DUMMYFUNCTION("""COMPUTED_VALUE"""),TRUE)</f>
        <v>1</v>
      </c>
    </row>
    <row r="23">
      <c r="A23" s="6" t="b">
        <v>0</v>
      </c>
      <c r="B23" s="45" t="str">
        <f>IFERROR(__xludf.DUMMYFUNCTION("""COMPUTED_VALUE"""),"Yellow perch")</f>
        <v>Yellow perch</v>
      </c>
      <c r="C23" s="45">
        <f>IFERROR(__xludf.DUMMYFUNCTION("""COMPUTED_VALUE"""),300.0)</f>
        <v>300</v>
      </c>
      <c r="D23" s="45" t="str">
        <f>IFERROR(__xludf.DUMMYFUNCTION("""COMPUTED_VALUE"""),"All day")</f>
        <v>All day</v>
      </c>
      <c r="E23" s="45" t="str">
        <f>IFERROR(__xludf.DUMMYFUNCTION("""COMPUTED_VALUE"""),"River")</f>
        <v>River</v>
      </c>
      <c r="F23" s="45" t="str">
        <f>IFERROR(__xludf.DUMMYFUNCTION("""COMPUTED_VALUE"""),"Medium")</f>
        <v>Medium</v>
      </c>
      <c r="G23" s="45" t="b">
        <f>IFERROR(__xludf.DUMMYFUNCTION("""COMPUTED_VALUE"""),TRUE)</f>
        <v>1</v>
      </c>
      <c r="H23" s="45" t="b">
        <f>IFERROR(__xludf.DUMMYFUNCTION("""COMPUTED_VALUE"""),TRUE)</f>
        <v>1</v>
      </c>
      <c r="I23" s="45" t="b">
        <f>IFERROR(__xludf.DUMMYFUNCTION("""COMPUTED_VALUE"""),TRUE)</f>
        <v>1</v>
      </c>
      <c r="J23" s="45" t="b">
        <f>IFERROR(__xludf.DUMMYFUNCTION("""COMPUTED_VALUE"""),FALSE)</f>
        <v>0</v>
      </c>
      <c r="K23" s="45" t="b">
        <f>IFERROR(__xludf.DUMMYFUNCTION("""COMPUTED_VALUE"""),FALSE)</f>
        <v>0</v>
      </c>
      <c r="L23" s="45" t="b">
        <f>IFERROR(__xludf.DUMMYFUNCTION("""COMPUTED_VALUE"""),FALSE)</f>
        <v>0</v>
      </c>
      <c r="M23" s="45" t="b">
        <f>IFERROR(__xludf.DUMMYFUNCTION("""COMPUTED_VALUE"""),FALSE)</f>
        <v>0</v>
      </c>
      <c r="N23" s="45" t="b">
        <f>IFERROR(__xludf.DUMMYFUNCTION("""COMPUTED_VALUE"""),FALSE)</f>
        <v>0</v>
      </c>
      <c r="O23" s="45" t="b">
        <f>IFERROR(__xludf.DUMMYFUNCTION("""COMPUTED_VALUE"""),FALSE)</f>
        <v>0</v>
      </c>
      <c r="P23" s="45" t="b">
        <f>IFERROR(__xludf.DUMMYFUNCTION("""COMPUTED_VALUE"""),TRUE)</f>
        <v>1</v>
      </c>
      <c r="Q23" s="45" t="b">
        <f>IFERROR(__xludf.DUMMYFUNCTION("""COMPUTED_VALUE"""),TRUE)</f>
        <v>1</v>
      </c>
      <c r="R23" s="45" t="b">
        <f>IFERROR(__xludf.DUMMYFUNCTION("""COMPUTED_VALUE"""),TRUE)</f>
        <v>1</v>
      </c>
      <c r="S23" s="45"/>
      <c r="T23" s="45" t="b">
        <f>IFERROR(__xludf.DUMMYFUNCTION("""COMPUTED_VALUE"""),FALSE)</f>
        <v>0</v>
      </c>
      <c r="U23" s="45" t="b">
        <f>IFERROR(__xludf.DUMMYFUNCTION("""COMPUTED_VALUE"""),FALSE)</f>
        <v>0</v>
      </c>
      <c r="V23" s="45" t="b">
        <f>IFERROR(__xludf.DUMMYFUNCTION("""COMPUTED_VALUE"""),FALSE)</f>
        <v>0</v>
      </c>
      <c r="W23" s="45" t="b">
        <f>IFERROR(__xludf.DUMMYFUNCTION("""COMPUTED_VALUE"""),TRUE)</f>
        <v>1</v>
      </c>
      <c r="X23" s="45" t="b">
        <f>IFERROR(__xludf.DUMMYFUNCTION("""COMPUTED_VALUE"""),TRUE)</f>
        <v>1</v>
      </c>
      <c r="Y23" s="45" t="b">
        <f>IFERROR(__xludf.DUMMYFUNCTION("""COMPUTED_VALUE"""),TRUE)</f>
        <v>1</v>
      </c>
      <c r="Z23" s="45" t="b">
        <f>IFERROR(__xludf.DUMMYFUNCTION("""COMPUTED_VALUE"""),TRUE)</f>
        <v>1</v>
      </c>
      <c r="AA23" s="45" t="b">
        <f>IFERROR(__xludf.DUMMYFUNCTION("""COMPUTED_VALUE"""),TRUE)</f>
        <v>1</v>
      </c>
      <c r="AB23" s="45" t="b">
        <f>IFERROR(__xludf.DUMMYFUNCTION("""COMPUTED_VALUE"""),TRUE)</f>
        <v>1</v>
      </c>
      <c r="AC23" s="45" t="b">
        <f>IFERROR(__xludf.DUMMYFUNCTION("""COMPUTED_VALUE"""),FALSE)</f>
        <v>0</v>
      </c>
      <c r="AD23" s="45" t="b">
        <f>IFERROR(__xludf.DUMMYFUNCTION("""COMPUTED_VALUE"""),FALSE)</f>
        <v>0</v>
      </c>
      <c r="AE23" s="45" t="b">
        <f>IFERROR(__xludf.DUMMYFUNCTION("""COMPUTED_VALUE"""),FALSE)</f>
        <v>0</v>
      </c>
    </row>
    <row r="24">
      <c r="A24" s="6" t="b">
        <v>0</v>
      </c>
      <c r="B24" s="45" t="str">
        <f>IFERROR(__xludf.DUMMYFUNCTION("""COMPUTED_VALUE"""),"Black bass")</f>
        <v>Black bass</v>
      </c>
      <c r="C24" s="45">
        <f>IFERROR(__xludf.DUMMYFUNCTION("""COMPUTED_VALUE"""),400.0)</f>
        <v>400</v>
      </c>
      <c r="D24" s="45" t="str">
        <f>IFERROR(__xludf.DUMMYFUNCTION("""COMPUTED_VALUE"""),"All day")</f>
        <v>All day</v>
      </c>
      <c r="E24" s="45" t="str">
        <f>IFERROR(__xludf.DUMMYFUNCTION("""COMPUTED_VALUE"""),"River")</f>
        <v>River</v>
      </c>
      <c r="F24" s="45" t="str">
        <f>IFERROR(__xludf.DUMMYFUNCTION("""COMPUTED_VALUE"""),"Large")</f>
        <v>Large</v>
      </c>
      <c r="G24" s="45" t="b">
        <f>IFERROR(__xludf.DUMMYFUNCTION("""COMPUTED_VALUE"""),TRUE)</f>
        <v>1</v>
      </c>
      <c r="H24" s="45" t="b">
        <f>IFERROR(__xludf.DUMMYFUNCTION("""COMPUTED_VALUE"""),TRUE)</f>
        <v>1</v>
      </c>
      <c r="I24" s="45" t="b">
        <f>IFERROR(__xludf.DUMMYFUNCTION("""COMPUTED_VALUE"""),TRUE)</f>
        <v>1</v>
      </c>
      <c r="J24" s="45" t="b">
        <f>IFERROR(__xludf.DUMMYFUNCTION("""COMPUTED_VALUE"""),TRUE)</f>
        <v>1</v>
      </c>
      <c r="K24" s="45" t="b">
        <f>IFERROR(__xludf.DUMMYFUNCTION("""COMPUTED_VALUE"""),TRUE)</f>
        <v>1</v>
      </c>
      <c r="L24" s="45" t="b">
        <f>IFERROR(__xludf.DUMMYFUNCTION("""COMPUTED_VALUE"""),TRUE)</f>
        <v>1</v>
      </c>
      <c r="M24" s="45" t="b">
        <f>IFERROR(__xludf.DUMMYFUNCTION("""COMPUTED_VALUE"""),TRUE)</f>
        <v>1</v>
      </c>
      <c r="N24" s="45" t="b">
        <f>IFERROR(__xludf.DUMMYFUNCTION("""COMPUTED_VALUE"""),TRUE)</f>
        <v>1</v>
      </c>
      <c r="O24" s="45" t="b">
        <f>IFERROR(__xludf.DUMMYFUNCTION("""COMPUTED_VALUE"""),TRUE)</f>
        <v>1</v>
      </c>
      <c r="P24" s="45" t="b">
        <f>IFERROR(__xludf.DUMMYFUNCTION("""COMPUTED_VALUE"""),TRUE)</f>
        <v>1</v>
      </c>
      <c r="Q24" s="45" t="b">
        <f>IFERROR(__xludf.DUMMYFUNCTION("""COMPUTED_VALUE"""),TRUE)</f>
        <v>1</v>
      </c>
      <c r="R24" s="45" t="b">
        <f>IFERROR(__xludf.DUMMYFUNCTION("""COMPUTED_VALUE"""),TRUE)</f>
        <v>1</v>
      </c>
      <c r="S24" s="45"/>
      <c r="T24" s="45" t="b">
        <f>IFERROR(__xludf.DUMMYFUNCTION("""COMPUTED_VALUE"""),TRUE)</f>
        <v>1</v>
      </c>
      <c r="U24" s="45" t="b">
        <f>IFERROR(__xludf.DUMMYFUNCTION("""COMPUTED_VALUE"""),TRUE)</f>
        <v>1</v>
      </c>
      <c r="V24" s="45" t="b">
        <f>IFERROR(__xludf.DUMMYFUNCTION("""COMPUTED_VALUE"""),TRUE)</f>
        <v>1</v>
      </c>
      <c r="W24" s="45" t="b">
        <f>IFERROR(__xludf.DUMMYFUNCTION("""COMPUTED_VALUE"""),TRUE)</f>
        <v>1</v>
      </c>
      <c r="X24" s="45" t="b">
        <f>IFERROR(__xludf.DUMMYFUNCTION("""COMPUTED_VALUE"""),TRUE)</f>
        <v>1</v>
      </c>
      <c r="Y24" s="45" t="b">
        <f>IFERROR(__xludf.DUMMYFUNCTION("""COMPUTED_VALUE"""),TRUE)</f>
        <v>1</v>
      </c>
      <c r="Z24" s="45" t="b">
        <f>IFERROR(__xludf.DUMMYFUNCTION("""COMPUTED_VALUE"""),TRUE)</f>
        <v>1</v>
      </c>
      <c r="AA24" s="45" t="b">
        <f>IFERROR(__xludf.DUMMYFUNCTION("""COMPUTED_VALUE"""),TRUE)</f>
        <v>1</v>
      </c>
      <c r="AB24" s="45" t="b">
        <f>IFERROR(__xludf.DUMMYFUNCTION("""COMPUTED_VALUE"""),TRUE)</f>
        <v>1</v>
      </c>
      <c r="AC24" s="45" t="b">
        <f>IFERROR(__xludf.DUMMYFUNCTION("""COMPUTED_VALUE"""),TRUE)</f>
        <v>1</v>
      </c>
      <c r="AD24" s="45" t="b">
        <f>IFERROR(__xludf.DUMMYFUNCTION("""COMPUTED_VALUE"""),TRUE)</f>
        <v>1</v>
      </c>
      <c r="AE24" s="45" t="b">
        <f>IFERROR(__xludf.DUMMYFUNCTION("""COMPUTED_VALUE"""),TRUE)</f>
        <v>1</v>
      </c>
    </row>
    <row r="25">
      <c r="A25" s="6" t="b">
        <v>0</v>
      </c>
      <c r="B25" s="45" t="str">
        <f>IFERROR(__xludf.DUMMYFUNCTION("""COMPUTED_VALUE"""),"Tilapia")</f>
        <v>Tilapia</v>
      </c>
      <c r="C25" s="45">
        <f>IFERROR(__xludf.DUMMYFUNCTION("""COMPUTED_VALUE"""),800.0)</f>
        <v>800</v>
      </c>
      <c r="D25" s="45" t="str">
        <f>IFERROR(__xludf.DUMMYFUNCTION("""COMPUTED_VALUE"""),"All day")</f>
        <v>All day</v>
      </c>
      <c r="E25" s="45" t="str">
        <f>IFERROR(__xludf.DUMMYFUNCTION("""COMPUTED_VALUE"""),"River")</f>
        <v>River</v>
      </c>
      <c r="F25" s="45" t="str">
        <f>IFERROR(__xludf.DUMMYFUNCTION("""COMPUTED_VALUE"""),"Medium")</f>
        <v>Medium</v>
      </c>
      <c r="G25" s="45" t="b">
        <f>IFERROR(__xludf.DUMMYFUNCTION("""COMPUTED_VALUE"""),FALSE)</f>
        <v>0</v>
      </c>
      <c r="H25" s="45" t="b">
        <f>IFERROR(__xludf.DUMMYFUNCTION("""COMPUTED_VALUE"""),FALSE)</f>
        <v>0</v>
      </c>
      <c r="I25" s="45" t="b">
        <f>IFERROR(__xludf.DUMMYFUNCTION("""COMPUTED_VALUE"""),FALSE)</f>
        <v>0</v>
      </c>
      <c r="J25" s="45" t="b">
        <f>IFERROR(__xludf.DUMMYFUNCTION("""COMPUTED_VALUE"""),FALSE)</f>
        <v>0</v>
      </c>
      <c r="K25" s="45" t="b">
        <f>IFERROR(__xludf.DUMMYFUNCTION("""COMPUTED_VALUE"""),FALSE)</f>
        <v>0</v>
      </c>
      <c r="L25" s="45" t="b">
        <f>IFERROR(__xludf.DUMMYFUNCTION("""COMPUTED_VALUE"""),TRUE)</f>
        <v>1</v>
      </c>
      <c r="M25" s="45" t="b">
        <f>IFERROR(__xludf.DUMMYFUNCTION("""COMPUTED_VALUE"""),TRUE)</f>
        <v>1</v>
      </c>
      <c r="N25" s="45" t="b">
        <f>IFERROR(__xludf.DUMMYFUNCTION("""COMPUTED_VALUE"""),TRUE)</f>
        <v>1</v>
      </c>
      <c r="O25" s="45" t="b">
        <f>IFERROR(__xludf.DUMMYFUNCTION("""COMPUTED_VALUE"""),TRUE)</f>
        <v>1</v>
      </c>
      <c r="P25" s="45" t="b">
        <f>IFERROR(__xludf.DUMMYFUNCTION("""COMPUTED_VALUE"""),TRUE)</f>
        <v>1</v>
      </c>
      <c r="Q25" s="45" t="b">
        <f>IFERROR(__xludf.DUMMYFUNCTION("""COMPUTED_VALUE"""),FALSE)</f>
        <v>0</v>
      </c>
      <c r="R25" s="45" t="b">
        <f>IFERROR(__xludf.DUMMYFUNCTION("""COMPUTED_VALUE"""),FALSE)</f>
        <v>0</v>
      </c>
      <c r="S25" s="45"/>
      <c r="T25" s="45" t="b">
        <f>IFERROR(__xludf.DUMMYFUNCTION("""COMPUTED_VALUE"""),TRUE)</f>
        <v>1</v>
      </c>
      <c r="U25" s="45" t="b">
        <f>IFERROR(__xludf.DUMMYFUNCTION("""COMPUTED_VALUE"""),TRUE)</f>
        <v>1</v>
      </c>
      <c r="V25" s="45" t="b">
        <f>IFERROR(__xludf.DUMMYFUNCTION("""COMPUTED_VALUE"""),TRUE)</f>
        <v>1</v>
      </c>
      <c r="W25" s="45" t="b">
        <f>IFERROR(__xludf.DUMMYFUNCTION("""COMPUTED_VALUE"""),TRUE)</f>
        <v>1</v>
      </c>
      <c r="X25" s="45" t="b">
        <f>IFERROR(__xludf.DUMMYFUNCTION("""COMPUTED_VALUE"""),FALSE)</f>
        <v>0</v>
      </c>
      <c r="Y25" s="45" t="b">
        <f>IFERROR(__xludf.DUMMYFUNCTION("""COMPUTED_VALUE"""),FALSE)</f>
        <v>0</v>
      </c>
      <c r="Z25" s="45" t="b">
        <f>IFERROR(__xludf.DUMMYFUNCTION("""COMPUTED_VALUE"""),FALSE)</f>
        <v>0</v>
      </c>
      <c r="AA25" s="45" t="b">
        <f>IFERROR(__xludf.DUMMYFUNCTION("""COMPUTED_VALUE"""),FALSE)</f>
        <v>0</v>
      </c>
      <c r="AB25" s="45" t="b">
        <f>IFERROR(__xludf.DUMMYFUNCTION("""COMPUTED_VALUE"""),FALSE)</f>
        <v>0</v>
      </c>
      <c r="AC25" s="45" t="b">
        <f>IFERROR(__xludf.DUMMYFUNCTION("""COMPUTED_VALUE"""),FALSE)</f>
        <v>0</v>
      </c>
      <c r="AD25" s="45" t="b">
        <f>IFERROR(__xludf.DUMMYFUNCTION("""COMPUTED_VALUE"""),FALSE)</f>
        <v>0</v>
      </c>
      <c r="AE25" s="45" t="b">
        <f>IFERROR(__xludf.DUMMYFUNCTION("""COMPUTED_VALUE"""),TRUE)</f>
        <v>1</v>
      </c>
    </row>
    <row r="26">
      <c r="A26" s="6" t="b">
        <v>0</v>
      </c>
      <c r="B26" s="45" t="str">
        <f>IFERROR(__xludf.DUMMYFUNCTION("""COMPUTED_VALUE"""),"Pike")</f>
        <v>Pike</v>
      </c>
      <c r="C26" s="45">
        <f>IFERROR(__xludf.DUMMYFUNCTION("""COMPUTED_VALUE"""),1800.0)</f>
        <v>1800</v>
      </c>
      <c r="D26" s="45" t="str">
        <f>IFERROR(__xludf.DUMMYFUNCTION("""COMPUTED_VALUE"""),"All day")</f>
        <v>All day</v>
      </c>
      <c r="E26" s="45" t="str">
        <f>IFERROR(__xludf.DUMMYFUNCTION("""COMPUTED_VALUE"""),"River")</f>
        <v>River</v>
      </c>
      <c r="F26" s="45" t="str">
        <f>IFERROR(__xludf.DUMMYFUNCTION("""COMPUTED_VALUE"""),"X Large")</f>
        <v>X Large</v>
      </c>
      <c r="G26" s="45" t="b">
        <f>IFERROR(__xludf.DUMMYFUNCTION("""COMPUTED_VALUE"""),FALSE)</f>
        <v>0</v>
      </c>
      <c r="H26" s="45" t="b">
        <f>IFERROR(__xludf.DUMMYFUNCTION("""COMPUTED_VALUE"""),FALSE)</f>
        <v>0</v>
      </c>
      <c r="I26" s="45" t="b">
        <f>IFERROR(__xludf.DUMMYFUNCTION("""COMPUTED_VALUE"""),FALSE)</f>
        <v>0</v>
      </c>
      <c r="J26" s="45" t="b">
        <f>IFERROR(__xludf.DUMMYFUNCTION("""COMPUTED_VALUE"""),FALSE)</f>
        <v>0</v>
      </c>
      <c r="K26" s="45" t="b">
        <f>IFERROR(__xludf.DUMMYFUNCTION("""COMPUTED_VALUE"""),FALSE)</f>
        <v>0</v>
      </c>
      <c r="L26" s="45" t="b">
        <f>IFERROR(__xludf.DUMMYFUNCTION("""COMPUTED_VALUE"""),FALSE)</f>
        <v>0</v>
      </c>
      <c r="M26" s="45" t="b">
        <f>IFERROR(__xludf.DUMMYFUNCTION("""COMPUTED_VALUE"""),FALSE)</f>
        <v>0</v>
      </c>
      <c r="N26" s="45" t="b">
        <f>IFERROR(__xludf.DUMMYFUNCTION("""COMPUTED_VALUE"""),FALSE)</f>
        <v>0</v>
      </c>
      <c r="O26" s="45" t="b">
        <f>IFERROR(__xludf.DUMMYFUNCTION("""COMPUTED_VALUE"""),TRUE)</f>
        <v>1</v>
      </c>
      <c r="P26" s="45" t="b">
        <f>IFERROR(__xludf.DUMMYFUNCTION("""COMPUTED_VALUE"""),TRUE)</f>
        <v>1</v>
      </c>
      <c r="Q26" s="45" t="b">
        <f>IFERROR(__xludf.DUMMYFUNCTION("""COMPUTED_VALUE"""),TRUE)</f>
        <v>1</v>
      </c>
      <c r="R26" s="45" t="b">
        <f>IFERROR(__xludf.DUMMYFUNCTION("""COMPUTED_VALUE"""),TRUE)</f>
        <v>1</v>
      </c>
      <c r="S26" s="45"/>
      <c r="T26" s="45" t="b">
        <f>IFERROR(__xludf.DUMMYFUNCTION("""COMPUTED_VALUE"""),FALSE)</f>
        <v>0</v>
      </c>
      <c r="U26" s="45" t="b">
        <f>IFERROR(__xludf.DUMMYFUNCTION("""COMPUTED_VALUE"""),FALSE)</f>
        <v>0</v>
      </c>
      <c r="V26" s="45" t="b">
        <f>IFERROR(__xludf.DUMMYFUNCTION("""COMPUTED_VALUE"""),TRUE)</f>
        <v>1</v>
      </c>
      <c r="W26" s="45" t="b">
        <f>IFERROR(__xludf.DUMMYFUNCTION("""COMPUTED_VALUE"""),TRUE)</f>
        <v>1</v>
      </c>
      <c r="X26" s="45" t="b">
        <f>IFERROR(__xludf.DUMMYFUNCTION("""COMPUTED_VALUE"""),TRUE)</f>
        <v>1</v>
      </c>
      <c r="Y26" s="45" t="b">
        <f>IFERROR(__xludf.DUMMYFUNCTION("""COMPUTED_VALUE"""),TRUE)</f>
        <v>1</v>
      </c>
      <c r="Z26" s="45" t="b">
        <f>IFERROR(__xludf.DUMMYFUNCTION("""COMPUTED_VALUE"""),FALSE)</f>
        <v>0</v>
      </c>
      <c r="AA26" s="45" t="b">
        <f>IFERROR(__xludf.DUMMYFUNCTION("""COMPUTED_VALUE"""),FALSE)</f>
        <v>0</v>
      </c>
      <c r="AB26" s="45" t="b">
        <f>IFERROR(__xludf.DUMMYFUNCTION("""COMPUTED_VALUE"""),FALSE)</f>
        <v>0</v>
      </c>
      <c r="AC26" s="45" t="b">
        <f>IFERROR(__xludf.DUMMYFUNCTION("""COMPUTED_VALUE"""),FALSE)</f>
        <v>0</v>
      </c>
      <c r="AD26" s="45" t="b">
        <f>IFERROR(__xludf.DUMMYFUNCTION("""COMPUTED_VALUE"""),FALSE)</f>
        <v>0</v>
      </c>
      <c r="AE26" s="45" t="b">
        <f>IFERROR(__xludf.DUMMYFUNCTION("""COMPUTED_VALUE"""),FALSE)</f>
        <v>0</v>
      </c>
    </row>
    <row r="27">
      <c r="A27" s="6" t="b">
        <v>0</v>
      </c>
      <c r="B27" s="45" t="str">
        <f>IFERROR(__xludf.DUMMYFUNCTION("""COMPUTED_VALUE"""),"Pond smelt")</f>
        <v>Pond smelt</v>
      </c>
      <c r="C27" s="45">
        <f>IFERROR(__xludf.DUMMYFUNCTION("""COMPUTED_VALUE"""),500.0)</f>
        <v>500</v>
      </c>
      <c r="D27" s="45" t="str">
        <f>IFERROR(__xludf.DUMMYFUNCTION("""COMPUTED_VALUE"""),"All day")</f>
        <v>All day</v>
      </c>
      <c r="E27" s="45" t="str">
        <f>IFERROR(__xludf.DUMMYFUNCTION("""COMPUTED_VALUE"""),"River")</f>
        <v>River</v>
      </c>
      <c r="F27" s="45" t="str">
        <f>IFERROR(__xludf.DUMMYFUNCTION("""COMPUTED_VALUE"""),"Small")</f>
        <v>Small</v>
      </c>
      <c r="G27" s="45" t="b">
        <f>IFERROR(__xludf.DUMMYFUNCTION("""COMPUTED_VALUE"""),TRUE)</f>
        <v>1</v>
      </c>
      <c r="H27" s="45" t="b">
        <f>IFERROR(__xludf.DUMMYFUNCTION("""COMPUTED_VALUE"""),TRUE)</f>
        <v>1</v>
      </c>
      <c r="I27" s="45" t="b">
        <f>IFERROR(__xludf.DUMMYFUNCTION("""COMPUTED_VALUE"""),FALSE)</f>
        <v>0</v>
      </c>
      <c r="J27" s="45" t="b">
        <f>IFERROR(__xludf.DUMMYFUNCTION("""COMPUTED_VALUE"""),FALSE)</f>
        <v>0</v>
      </c>
      <c r="K27" s="45" t="b">
        <f>IFERROR(__xludf.DUMMYFUNCTION("""COMPUTED_VALUE"""),FALSE)</f>
        <v>0</v>
      </c>
      <c r="L27" s="45" t="b">
        <f>IFERROR(__xludf.DUMMYFUNCTION("""COMPUTED_VALUE"""),FALSE)</f>
        <v>0</v>
      </c>
      <c r="M27" s="45" t="b">
        <f>IFERROR(__xludf.DUMMYFUNCTION("""COMPUTED_VALUE"""),FALSE)</f>
        <v>0</v>
      </c>
      <c r="N27" s="45" t="b">
        <f>IFERROR(__xludf.DUMMYFUNCTION("""COMPUTED_VALUE"""),FALSE)</f>
        <v>0</v>
      </c>
      <c r="O27" s="45" t="b">
        <f>IFERROR(__xludf.DUMMYFUNCTION("""COMPUTED_VALUE"""),FALSE)</f>
        <v>0</v>
      </c>
      <c r="P27" s="45" t="b">
        <f>IFERROR(__xludf.DUMMYFUNCTION("""COMPUTED_VALUE"""),FALSE)</f>
        <v>0</v>
      </c>
      <c r="Q27" s="45" t="b">
        <f>IFERROR(__xludf.DUMMYFUNCTION("""COMPUTED_VALUE"""),FALSE)</f>
        <v>0</v>
      </c>
      <c r="R27" s="45" t="b">
        <f>IFERROR(__xludf.DUMMYFUNCTION("""COMPUTED_VALUE"""),TRUE)</f>
        <v>1</v>
      </c>
      <c r="S27" s="45"/>
      <c r="T27" s="45" t="b">
        <f>IFERROR(__xludf.DUMMYFUNCTION("""COMPUTED_VALUE"""),FALSE)</f>
        <v>0</v>
      </c>
      <c r="U27" s="45" t="b">
        <f>IFERROR(__xludf.DUMMYFUNCTION("""COMPUTED_VALUE"""),FALSE)</f>
        <v>0</v>
      </c>
      <c r="V27" s="45" t="b">
        <f>IFERROR(__xludf.DUMMYFUNCTION("""COMPUTED_VALUE"""),FALSE)</f>
        <v>0</v>
      </c>
      <c r="W27" s="45" t="b">
        <f>IFERROR(__xludf.DUMMYFUNCTION("""COMPUTED_VALUE"""),FALSE)</f>
        <v>0</v>
      </c>
      <c r="X27" s="45" t="b">
        <f>IFERROR(__xludf.DUMMYFUNCTION("""COMPUTED_VALUE"""),FALSE)</f>
        <v>0</v>
      </c>
      <c r="Y27" s="45" t="b">
        <f>IFERROR(__xludf.DUMMYFUNCTION("""COMPUTED_VALUE"""),TRUE)</f>
        <v>1</v>
      </c>
      <c r="Z27" s="45" t="b">
        <f>IFERROR(__xludf.DUMMYFUNCTION("""COMPUTED_VALUE"""),TRUE)</f>
        <v>1</v>
      </c>
      <c r="AA27" s="45" t="b">
        <f>IFERROR(__xludf.DUMMYFUNCTION("""COMPUTED_VALUE"""),TRUE)</f>
        <v>1</v>
      </c>
      <c r="AB27" s="45" t="b">
        <f>IFERROR(__xludf.DUMMYFUNCTION("""COMPUTED_VALUE"""),FALSE)</f>
        <v>0</v>
      </c>
      <c r="AC27" s="45" t="b">
        <f>IFERROR(__xludf.DUMMYFUNCTION("""COMPUTED_VALUE"""),FALSE)</f>
        <v>0</v>
      </c>
      <c r="AD27" s="45" t="b">
        <f>IFERROR(__xludf.DUMMYFUNCTION("""COMPUTED_VALUE"""),FALSE)</f>
        <v>0</v>
      </c>
      <c r="AE27" s="45" t="b">
        <f>IFERROR(__xludf.DUMMYFUNCTION("""COMPUTED_VALUE"""),FALSE)</f>
        <v>0</v>
      </c>
    </row>
    <row r="28">
      <c r="A28" s="6" t="b">
        <v>0</v>
      </c>
      <c r="B28" s="45" t="str">
        <f>IFERROR(__xludf.DUMMYFUNCTION("""COMPUTED_VALUE"""),"Sweetfish")</f>
        <v>Sweetfish</v>
      </c>
      <c r="C28" s="45">
        <f>IFERROR(__xludf.DUMMYFUNCTION("""COMPUTED_VALUE"""),900.0)</f>
        <v>900</v>
      </c>
      <c r="D28" s="45" t="str">
        <f>IFERROR(__xludf.DUMMYFUNCTION("""COMPUTED_VALUE"""),"All day")</f>
        <v>All day</v>
      </c>
      <c r="E28" s="45" t="str">
        <f>IFERROR(__xludf.DUMMYFUNCTION("""COMPUTED_VALUE"""),"River")</f>
        <v>River</v>
      </c>
      <c r="F28" s="45" t="str">
        <f>IFERROR(__xludf.DUMMYFUNCTION("""COMPUTED_VALUE"""),"Medium")</f>
        <v>Medium</v>
      </c>
      <c r="G28" s="45" t="b">
        <f>IFERROR(__xludf.DUMMYFUNCTION("""COMPUTED_VALUE"""),FALSE)</f>
        <v>0</v>
      </c>
      <c r="H28" s="45" t="b">
        <f>IFERROR(__xludf.DUMMYFUNCTION("""COMPUTED_VALUE"""),FALSE)</f>
        <v>0</v>
      </c>
      <c r="I28" s="45" t="b">
        <f>IFERROR(__xludf.DUMMYFUNCTION("""COMPUTED_VALUE"""),FALSE)</f>
        <v>0</v>
      </c>
      <c r="J28" s="45" t="b">
        <f>IFERROR(__xludf.DUMMYFUNCTION("""COMPUTED_VALUE"""),FALSE)</f>
        <v>0</v>
      </c>
      <c r="K28" s="45" t="b">
        <f>IFERROR(__xludf.DUMMYFUNCTION("""COMPUTED_VALUE"""),FALSE)</f>
        <v>0</v>
      </c>
      <c r="L28" s="45" t="b">
        <f>IFERROR(__xludf.DUMMYFUNCTION("""COMPUTED_VALUE"""),FALSE)</f>
        <v>0</v>
      </c>
      <c r="M28" s="45" t="b">
        <f>IFERROR(__xludf.DUMMYFUNCTION("""COMPUTED_VALUE"""),TRUE)</f>
        <v>1</v>
      </c>
      <c r="N28" s="45" t="b">
        <f>IFERROR(__xludf.DUMMYFUNCTION("""COMPUTED_VALUE"""),TRUE)</f>
        <v>1</v>
      </c>
      <c r="O28" s="45" t="b">
        <f>IFERROR(__xludf.DUMMYFUNCTION("""COMPUTED_VALUE"""),TRUE)</f>
        <v>1</v>
      </c>
      <c r="P28" s="45" t="b">
        <f>IFERROR(__xludf.DUMMYFUNCTION("""COMPUTED_VALUE"""),FALSE)</f>
        <v>0</v>
      </c>
      <c r="Q28" s="45" t="b">
        <f>IFERROR(__xludf.DUMMYFUNCTION("""COMPUTED_VALUE"""),FALSE)</f>
        <v>0</v>
      </c>
      <c r="R28" s="45" t="b">
        <f>IFERROR(__xludf.DUMMYFUNCTION("""COMPUTED_VALUE"""),FALSE)</f>
        <v>0</v>
      </c>
      <c r="S28" s="45"/>
      <c r="T28" s="45" t="b">
        <f>IFERROR(__xludf.DUMMYFUNCTION("""COMPUTED_VALUE"""),TRUE)</f>
        <v>1</v>
      </c>
      <c r="U28" s="45" t="b">
        <f>IFERROR(__xludf.DUMMYFUNCTION("""COMPUTED_VALUE"""),TRUE)</f>
        <v>1</v>
      </c>
      <c r="V28" s="45" t="b">
        <f>IFERROR(__xludf.DUMMYFUNCTION("""COMPUTED_VALUE"""),TRUE)</f>
        <v>1</v>
      </c>
      <c r="W28" s="45" t="b">
        <f>IFERROR(__xludf.DUMMYFUNCTION("""COMPUTED_VALUE"""),FALSE)</f>
        <v>0</v>
      </c>
      <c r="X28" s="45" t="b">
        <f>IFERROR(__xludf.DUMMYFUNCTION("""COMPUTED_VALUE"""),FALSE)</f>
        <v>0</v>
      </c>
      <c r="Y28" s="45" t="b">
        <f>IFERROR(__xludf.DUMMYFUNCTION("""COMPUTED_VALUE"""),FALSE)</f>
        <v>0</v>
      </c>
      <c r="Z28" s="45" t="b">
        <f>IFERROR(__xludf.DUMMYFUNCTION("""COMPUTED_VALUE"""),FALSE)</f>
        <v>0</v>
      </c>
      <c r="AA28" s="45" t="b">
        <f>IFERROR(__xludf.DUMMYFUNCTION("""COMPUTED_VALUE"""),FALSE)</f>
        <v>0</v>
      </c>
      <c r="AB28" s="45" t="b">
        <f>IFERROR(__xludf.DUMMYFUNCTION("""COMPUTED_VALUE"""),FALSE)</f>
        <v>0</v>
      </c>
      <c r="AC28" s="45" t="b">
        <f>IFERROR(__xludf.DUMMYFUNCTION("""COMPUTED_VALUE"""),FALSE)</f>
        <v>0</v>
      </c>
      <c r="AD28" s="45" t="b">
        <f>IFERROR(__xludf.DUMMYFUNCTION("""COMPUTED_VALUE"""),FALSE)</f>
        <v>0</v>
      </c>
      <c r="AE28" s="45" t="b">
        <f>IFERROR(__xludf.DUMMYFUNCTION("""COMPUTED_VALUE"""),FALSE)</f>
        <v>0</v>
      </c>
    </row>
    <row r="29">
      <c r="A29" s="6" t="b">
        <v>0</v>
      </c>
      <c r="B29" s="45" t="str">
        <f>IFERROR(__xludf.DUMMYFUNCTION("""COMPUTED_VALUE"""),"Cherry salmon")</f>
        <v>Cherry salmon</v>
      </c>
      <c r="C29" s="45">
        <f>IFERROR(__xludf.DUMMYFUNCTION("""COMPUTED_VALUE"""),1000.0)</f>
        <v>1000</v>
      </c>
      <c r="D29" s="45" t="str">
        <f>IFERROR(__xludf.DUMMYFUNCTION("""COMPUTED_VALUE"""),"4 p.m. - 9 a.m.")</f>
        <v>4 p.m. - 9 a.m.</v>
      </c>
      <c r="E29" s="45" t="str">
        <f>IFERROR(__xludf.DUMMYFUNCTION("""COMPUTED_VALUE"""),"River")</f>
        <v>River</v>
      </c>
      <c r="F29" s="45" t="str">
        <f>IFERROR(__xludf.DUMMYFUNCTION("""COMPUTED_VALUE"""),"Medium")</f>
        <v>Medium</v>
      </c>
      <c r="G29" s="45" t="b">
        <f>IFERROR(__xludf.DUMMYFUNCTION("""COMPUTED_VALUE"""),FALSE)</f>
        <v>0</v>
      </c>
      <c r="H29" s="45" t="b">
        <f>IFERROR(__xludf.DUMMYFUNCTION("""COMPUTED_VALUE"""),FALSE)</f>
        <v>0</v>
      </c>
      <c r="I29" s="45" t="b">
        <f>IFERROR(__xludf.DUMMYFUNCTION("""COMPUTED_VALUE"""),TRUE)</f>
        <v>1</v>
      </c>
      <c r="J29" s="45" t="b">
        <f>IFERROR(__xludf.DUMMYFUNCTION("""COMPUTED_VALUE"""),TRUE)</f>
        <v>1</v>
      </c>
      <c r="K29" s="45" t="b">
        <f>IFERROR(__xludf.DUMMYFUNCTION("""COMPUTED_VALUE"""),TRUE)</f>
        <v>1</v>
      </c>
      <c r="L29" s="45" t="b">
        <f>IFERROR(__xludf.DUMMYFUNCTION("""COMPUTED_VALUE"""),TRUE)</f>
        <v>1</v>
      </c>
      <c r="M29" s="45" t="b">
        <f>IFERROR(__xludf.DUMMYFUNCTION("""COMPUTED_VALUE"""),FALSE)</f>
        <v>0</v>
      </c>
      <c r="N29" s="45" t="b">
        <f>IFERROR(__xludf.DUMMYFUNCTION("""COMPUTED_VALUE"""),FALSE)</f>
        <v>0</v>
      </c>
      <c r="O29" s="45" t="b">
        <f>IFERROR(__xludf.DUMMYFUNCTION("""COMPUTED_VALUE"""),TRUE)</f>
        <v>1</v>
      </c>
      <c r="P29" s="45" t="b">
        <f>IFERROR(__xludf.DUMMYFUNCTION("""COMPUTED_VALUE"""),TRUE)</f>
        <v>1</v>
      </c>
      <c r="Q29" s="45" t="b">
        <f>IFERROR(__xludf.DUMMYFUNCTION("""COMPUTED_VALUE"""),TRUE)</f>
        <v>1</v>
      </c>
      <c r="R29" s="45" t="b">
        <f>IFERROR(__xludf.DUMMYFUNCTION("""COMPUTED_VALUE"""),FALSE)</f>
        <v>0</v>
      </c>
      <c r="S29" s="45"/>
      <c r="T29" s="45" t="b">
        <f>IFERROR(__xludf.DUMMYFUNCTION("""COMPUTED_VALUE"""),FALSE)</f>
        <v>0</v>
      </c>
      <c r="U29" s="45" t="b">
        <f>IFERROR(__xludf.DUMMYFUNCTION("""COMPUTED_VALUE"""),FALSE)</f>
        <v>0</v>
      </c>
      <c r="V29" s="45" t="b">
        <f>IFERROR(__xludf.DUMMYFUNCTION("""COMPUTED_VALUE"""),TRUE)</f>
        <v>1</v>
      </c>
      <c r="W29" s="45" t="b">
        <f>IFERROR(__xludf.DUMMYFUNCTION("""COMPUTED_VALUE"""),TRUE)</f>
        <v>1</v>
      </c>
      <c r="X29" s="45" t="b">
        <f>IFERROR(__xludf.DUMMYFUNCTION("""COMPUTED_VALUE"""),TRUE)</f>
        <v>1</v>
      </c>
      <c r="Y29" s="45" t="b">
        <f>IFERROR(__xludf.DUMMYFUNCTION("""COMPUTED_VALUE"""),FALSE)</f>
        <v>0</v>
      </c>
      <c r="Z29" s="45" t="b">
        <f>IFERROR(__xludf.DUMMYFUNCTION("""COMPUTED_VALUE"""),FALSE)</f>
        <v>0</v>
      </c>
      <c r="AA29" s="45" t="b">
        <f>IFERROR(__xludf.DUMMYFUNCTION("""COMPUTED_VALUE"""),FALSE)</f>
        <v>0</v>
      </c>
      <c r="AB29" s="45" t="b">
        <f>IFERROR(__xludf.DUMMYFUNCTION("""COMPUTED_VALUE"""),TRUE)</f>
        <v>1</v>
      </c>
      <c r="AC29" s="45" t="b">
        <f>IFERROR(__xludf.DUMMYFUNCTION("""COMPUTED_VALUE"""),TRUE)</f>
        <v>1</v>
      </c>
      <c r="AD29" s="45" t="b">
        <f>IFERROR(__xludf.DUMMYFUNCTION("""COMPUTED_VALUE"""),TRUE)</f>
        <v>1</v>
      </c>
      <c r="AE29" s="45" t="b">
        <f>IFERROR(__xludf.DUMMYFUNCTION("""COMPUTED_VALUE"""),TRUE)</f>
        <v>1</v>
      </c>
    </row>
    <row r="30">
      <c r="A30" s="6" t="b">
        <v>0</v>
      </c>
      <c r="B30" s="45" t="str">
        <f>IFERROR(__xludf.DUMMYFUNCTION("""COMPUTED_VALUE"""),"Char")</f>
        <v>Char</v>
      </c>
      <c r="C30" s="45">
        <f>IFERROR(__xludf.DUMMYFUNCTION("""COMPUTED_VALUE"""),3800.0)</f>
        <v>3800</v>
      </c>
      <c r="D30" s="45" t="str">
        <f>IFERROR(__xludf.DUMMYFUNCTION("""COMPUTED_VALUE"""),"4 p.m. - 9 a.m.")</f>
        <v>4 p.m. - 9 a.m.</v>
      </c>
      <c r="E30" s="45" t="str">
        <f>IFERROR(__xludf.DUMMYFUNCTION("""COMPUTED_VALUE"""),"River (Clifftop)")</f>
        <v>River (Clifftop)</v>
      </c>
      <c r="F30" s="45" t="str">
        <f>IFERROR(__xludf.DUMMYFUNCTION("""COMPUTED_VALUE"""),"Medium")</f>
        <v>Medium</v>
      </c>
      <c r="G30" s="45" t="b">
        <f>IFERROR(__xludf.DUMMYFUNCTION("""COMPUTED_VALUE"""),FALSE)</f>
        <v>0</v>
      </c>
      <c r="H30" s="45" t="b">
        <f>IFERROR(__xludf.DUMMYFUNCTION("""COMPUTED_VALUE"""),FALSE)</f>
        <v>0</v>
      </c>
      <c r="I30" s="45" t="b">
        <f>IFERROR(__xludf.DUMMYFUNCTION("""COMPUTED_VALUE"""),TRUE)</f>
        <v>1</v>
      </c>
      <c r="J30" s="45" t="b">
        <f>IFERROR(__xludf.DUMMYFUNCTION("""COMPUTED_VALUE"""),TRUE)</f>
        <v>1</v>
      </c>
      <c r="K30" s="45" t="b">
        <f>IFERROR(__xludf.DUMMYFUNCTION("""COMPUTED_VALUE"""),TRUE)</f>
        <v>1</v>
      </c>
      <c r="L30" s="45" t="b">
        <f>IFERROR(__xludf.DUMMYFUNCTION("""COMPUTED_VALUE"""),TRUE)</f>
        <v>1</v>
      </c>
      <c r="M30" s="45" t="b">
        <f>IFERROR(__xludf.DUMMYFUNCTION("""COMPUTED_VALUE"""),FALSE)</f>
        <v>0</v>
      </c>
      <c r="N30" s="45" t="b">
        <f>IFERROR(__xludf.DUMMYFUNCTION("""COMPUTED_VALUE"""),FALSE)</f>
        <v>0</v>
      </c>
      <c r="O30" s="45" t="b">
        <f>IFERROR(__xludf.DUMMYFUNCTION("""COMPUTED_VALUE"""),TRUE)</f>
        <v>1</v>
      </c>
      <c r="P30" s="45" t="b">
        <f>IFERROR(__xludf.DUMMYFUNCTION("""COMPUTED_VALUE"""),TRUE)</f>
        <v>1</v>
      </c>
      <c r="Q30" s="45" t="b">
        <f>IFERROR(__xludf.DUMMYFUNCTION("""COMPUTED_VALUE"""),TRUE)</f>
        <v>1</v>
      </c>
      <c r="R30" s="45" t="b">
        <f>IFERROR(__xludf.DUMMYFUNCTION("""COMPUTED_VALUE"""),FALSE)</f>
        <v>0</v>
      </c>
      <c r="S30" s="45"/>
      <c r="T30" s="45" t="b">
        <f>IFERROR(__xludf.DUMMYFUNCTION("""COMPUTED_VALUE"""),FALSE)</f>
        <v>0</v>
      </c>
      <c r="U30" s="45" t="b">
        <f>IFERROR(__xludf.DUMMYFUNCTION("""COMPUTED_VALUE"""),FALSE)</f>
        <v>0</v>
      </c>
      <c r="V30" s="45" t="b">
        <f>IFERROR(__xludf.DUMMYFUNCTION("""COMPUTED_VALUE"""),TRUE)</f>
        <v>1</v>
      </c>
      <c r="W30" s="45" t="b">
        <f>IFERROR(__xludf.DUMMYFUNCTION("""COMPUTED_VALUE"""),TRUE)</f>
        <v>1</v>
      </c>
      <c r="X30" s="45" t="b">
        <f>IFERROR(__xludf.DUMMYFUNCTION("""COMPUTED_VALUE"""),TRUE)</f>
        <v>1</v>
      </c>
      <c r="Y30" s="45" t="b">
        <f>IFERROR(__xludf.DUMMYFUNCTION("""COMPUTED_VALUE"""),FALSE)</f>
        <v>0</v>
      </c>
      <c r="Z30" s="45" t="b">
        <f>IFERROR(__xludf.DUMMYFUNCTION("""COMPUTED_VALUE"""),FALSE)</f>
        <v>0</v>
      </c>
      <c r="AA30" s="45" t="b">
        <f>IFERROR(__xludf.DUMMYFUNCTION("""COMPUTED_VALUE"""),FALSE)</f>
        <v>0</v>
      </c>
      <c r="AB30" s="45" t="b">
        <f>IFERROR(__xludf.DUMMYFUNCTION("""COMPUTED_VALUE"""),TRUE)</f>
        <v>1</v>
      </c>
      <c r="AC30" s="45" t="b">
        <f>IFERROR(__xludf.DUMMYFUNCTION("""COMPUTED_VALUE"""),TRUE)</f>
        <v>1</v>
      </c>
      <c r="AD30" s="45" t="b">
        <f>IFERROR(__xludf.DUMMYFUNCTION("""COMPUTED_VALUE"""),TRUE)</f>
        <v>1</v>
      </c>
      <c r="AE30" s="45" t="b">
        <f>IFERROR(__xludf.DUMMYFUNCTION("""COMPUTED_VALUE"""),TRUE)</f>
        <v>1</v>
      </c>
    </row>
    <row r="31">
      <c r="A31" s="6" t="b">
        <v>0</v>
      </c>
      <c r="B31" s="45" t="str">
        <f>IFERROR(__xludf.DUMMYFUNCTION("""COMPUTED_VALUE"""),"Golden trout")</f>
        <v>Golden trout</v>
      </c>
      <c r="C31" s="45">
        <f>IFERROR(__xludf.DUMMYFUNCTION("""COMPUTED_VALUE"""),15000.0)</f>
        <v>15000</v>
      </c>
      <c r="D31" s="45" t="str">
        <f>IFERROR(__xludf.DUMMYFUNCTION("""COMPUTED_VALUE"""),"4 p.m. - 9 a.m.")</f>
        <v>4 p.m. - 9 a.m.</v>
      </c>
      <c r="E31" s="45" t="str">
        <f>IFERROR(__xludf.DUMMYFUNCTION("""COMPUTED_VALUE"""),"River (Clifftop)")</f>
        <v>River (Clifftop)</v>
      </c>
      <c r="F31" s="45" t="str">
        <f>IFERROR(__xludf.DUMMYFUNCTION("""COMPUTED_VALUE"""),"Medium")</f>
        <v>Medium</v>
      </c>
      <c r="G31" s="45" t="b">
        <f>IFERROR(__xludf.DUMMYFUNCTION("""COMPUTED_VALUE"""),FALSE)</f>
        <v>0</v>
      </c>
      <c r="H31" s="45" t="b">
        <f>IFERROR(__xludf.DUMMYFUNCTION("""COMPUTED_VALUE"""),FALSE)</f>
        <v>0</v>
      </c>
      <c r="I31" s="45" t="b">
        <f>IFERROR(__xludf.DUMMYFUNCTION("""COMPUTED_VALUE"""),TRUE)</f>
        <v>1</v>
      </c>
      <c r="J31" s="45" t="b">
        <f>IFERROR(__xludf.DUMMYFUNCTION("""COMPUTED_VALUE"""),TRUE)</f>
        <v>1</v>
      </c>
      <c r="K31" s="45" t="b">
        <f>IFERROR(__xludf.DUMMYFUNCTION("""COMPUTED_VALUE"""),TRUE)</f>
        <v>1</v>
      </c>
      <c r="L31" s="45" t="b">
        <f>IFERROR(__xludf.DUMMYFUNCTION("""COMPUTED_VALUE"""),FALSE)</f>
        <v>0</v>
      </c>
      <c r="M31" s="45" t="b">
        <f>IFERROR(__xludf.DUMMYFUNCTION("""COMPUTED_VALUE"""),FALSE)</f>
        <v>0</v>
      </c>
      <c r="N31" s="45" t="b">
        <f>IFERROR(__xludf.DUMMYFUNCTION("""COMPUTED_VALUE"""),FALSE)</f>
        <v>0</v>
      </c>
      <c r="O31" s="45" t="b">
        <f>IFERROR(__xludf.DUMMYFUNCTION("""COMPUTED_VALUE"""),TRUE)</f>
        <v>1</v>
      </c>
      <c r="P31" s="45" t="b">
        <f>IFERROR(__xludf.DUMMYFUNCTION("""COMPUTED_VALUE"""),TRUE)</f>
        <v>1</v>
      </c>
      <c r="Q31" s="45" t="b">
        <f>IFERROR(__xludf.DUMMYFUNCTION("""COMPUTED_VALUE"""),TRUE)</f>
        <v>1</v>
      </c>
      <c r="R31" s="45" t="b">
        <f>IFERROR(__xludf.DUMMYFUNCTION("""COMPUTED_VALUE"""),FALSE)</f>
        <v>0</v>
      </c>
      <c r="S31" s="45"/>
      <c r="T31" s="45" t="b">
        <f>IFERROR(__xludf.DUMMYFUNCTION("""COMPUTED_VALUE"""),FALSE)</f>
        <v>0</v>
      </c>
      <c r="U31" s="45" t="b">
        <f>IFERROR(__xludf.DUMMYFUNCTION("""COMPUTED_VALUE"""),FALSE)</f>
        <v>0</v>
      </c>
      <c r="V31" s="45" t="b">
        <f>IFERROR(__xludf.DUMMYFUNCTION("""COMPUTED_VALUE"""),TRUE)</f>
        <v>1</v>
      </c>
      <c r="W31" s="45" t="b">
        <f>IFERROR(__xludf.DUMMYFUNCTION("""COMPUTED_VALUE"""),TRUE)</f>
        <v>1</v>
      </c>
      <c r="X31" s="45" t="b">
        <f>IFERROR(__xludf.DUMMYFUNCTION("""COMPUTED_VALUE"""),TRUE)</f>
        <v>1</v>
      </c>
      <c r="Y31" s="45" t="b">
        <f>IFERROR(__xludf.DUMMYFUNCTION("""COMPUTED_VALUE"""),FALSE)</f>
        <v>0</v>
      </c>
      <c r="Z31" s="45" t="b">
        <f>IFERROR(__xludf.DUMMYFUNCTION("""COMPUTED_VALUE"""),FALSE)</f>
        <v>0</v>
      </c>
      <c r="AA31" s="45" t="b">
        <f>IFERROR(__xludf.DUMMYFUNCTION("""COMPUTED_VALUE"""),FALSE)</f>
        <v>0</v>
      </c>
      <c r="AB31" s="45" t="b">
        <f>IFERROR(__xludf.DUMMYFUNCTION("""COMPUTED_VALUE"""),TRUE)</f>
        <v>1</v>
      </c>
      <c r="AC31" s="45" t="b">
        <f>IFERROR(__xludf.DUMMYFUNCTION("""COMPUTED_VALUE"""),TRUE)</f>
        <v>1</v>
      </c>
      <c r="AD31" s="45" t="b">
        <f>IFERROR(__xludf.DUMMYFUNCTION("""COMPUTED_VALUE"""),TRUE)</f>
        <v>1</v>
      </c>
      <c r="AE31" s="45" t="b">
        <f>IFERROR(__xludf.DUMMYFUNCTION("""COMPUTED_VALUE"""),FALSE)</f>
        <v>0</v>
      </c>
    </row>
    <row r="32">
      <c r="A32" s="6" t="b">
        <v>0</v>
      </c>
      <c r="B32" s="45" t="str">
        <f>IFERROR(__xludf.DUMMYFUNCTION("""COMPUTED_VALUE"""),"Stringfish")</f>
        <v>Stringfish</v>
      </c>
      <c r="C32" s="45">
        <f>IFERROR(__xludf.DUMMYFUNCTION("""COMPUTED_VALUE"""),15000.0)</f>
        <v>15000</v>
      </c>
      <c r="D32" s="45" t="str">
        <f>IFERROR(__xludf.DUMMYFUNCTION("""COMPUTED_VALUE"""),"4 p.m. - 9 a.m.")</f>
        <v>4 p.m. - 9 a.m.</v>
      </c>
      <c r="E32" s="45" t="str">
        <f>IFERROR(__xludf.DUMMYFUNCTION("""COMPUTED_VALUE"""),"River (Clifftop)")</f>
        <v>River (Clifftop)</v>
      </c>
      <c r="F32" s="45" t="str">
        <f>IFERROR(__xludf.DUMMYFUNCTION("""COMPUTED_VALUE"""),"Largest")</f>
        <v>Largest</v>
      </c>
      <c r="G32" s="45" t="b">
        <f>IFERROR(__xludf.DUMMYFUNCTION("""COMPUTED_VALUE"""),TRUE)</f>
        <v>1</v>
      </c>
      <c r="H32" s="45" t="b">
        <f>IFERROR(__xludf.DUMMYFUNCTION("""COMPUTED_VALUE"""),TRUE)</f>
        <v>1</v>
      </c>
      <c r="I32" s="45" t="b">
        <f>IFERROR(__xludf.DUMMYFUNCTION("""COMPUTED_VALUE"""),TRUE)</f>
        <v>1</v>
      </c>
      <c r="J32" s="45" t="b">
        <f>IFERROR(__xludf.DUMMYFUNCTION("""COMPUTED_VALUE"""),FALSE)</f>
        <v>0</v>
      </c>
      <c r="K32" s="45" t="b">
        <f>IFERROR(__xludf.DUMMYFUNCTION("""COMPUTED_VALUE"""),FALSE)</f>
        <v>0</v>
      </c>
      <c r="L32" s="45" t="b">
        <f>IFERROR(__xludf.DUMMYFUNCTION("""COMPUTED_VALUE"""),FALSE)</f>
        <v>0</v>
      </c>
      <c r="M32" s="45" t="b">
        <f>IFERROR(__xludf.DUMMYFUNCTION("""COMPUTED_VALUE"""),FALSE)</f>
        <v>0</v>
      </c>
      <c r="N32" s="45" t="b">
        <f>IFERROR(__xludf.DUMMYFUNCTION("""COMPUTED_VALUE"""),FALSE)</f>
        <v>0</v>
      </c>
      <c r="O32" s="45" t="b">
        <f>IFERROR(__xludf.DUMMYFUNCTION("""COMPUTED_VALUE"""),FALSE)</f>
        <v>0</v>
      </c>
      <c r="P32" s="45" t="b">
        <f>IFERROR(__xludf.DUMMYFUNCTION("""COMPUTED_VALUE"""),FALSE)</f>
        <v>0</v>
      </c>
      <c r="Q32" s="45" t="b">
        <f>IFERROR(__xludf.DUMMYFUNCTION("""COMPUTED_VALUE"""),FALSE)</f>
        <v>0</v>
      </c>
      <c r="R32" s="45" t="b">
        <f>IFERROR(__xludf.DUMMYFUNCTION("""COMPUTED_VALUE"""),TRUE)</f>
        <v>1</v>
      </c>
      <c r="S32" s="45"/>
      <c r="T32" s="45" t="b">
        <f>IFERROR(__xludf.DUMMYFUNCTION("""COMPUTED_VALUE"""),FALSE)</f>
        <v>0</v>
      </c>
      <c r="U32" s="45" t="b">
        <f>IFERROR(__xludf.DUMMYFUNCTION("""COMPUTED_VALUE"""),FALSE)</f>
        <v>0</v>
      </c>
      <c r="V32" s="45" t="b">
        <f>IFERROR(__xludf.DUMMYFUNCTION("""COMPUTED_VALUE"""),FALSE)</f>
        <v>0</v>
      </c>
      <c r="W32" s="45" t="b">
        <f>IFERROR(__xludf.DUMMYFUNCTION("""COMPUTED_VALUE"""),FALSE)</f>
        <v>0</v>
      </c>
      <c r="X32" s="45" t="b">
        <f>IFERROR(__xludf.DUMMYFUNCTION("""COMPUTED_VALUE"""),FALSE)</f>
        <v>0</v>
      </c>
      <c r="Y32" s="45" t="b">
        <f>IFERROR(__xludf.DUMMYFUNCTION("""COMPUTED_VALUE"""),TRUE)</f>
        <v>1</v>
      </c>
      <c r="Z32" s="45" t="b">
        <f>IFERROR(__xludf.DUMMYFUNCTION("""COMPUTED_VALUE"""),TRUE)</f>
        <v>1</v>
      </c>
      <c r="AA32" s="45" t="b">
        <f>IFERROR(__xludf.DUMMYFUNCTION("""COMPUTED_VALUE"""),TRUE)</f>
        <v>1</v>
      </c>
      <c r="AB32" s="45" t="b">
        <f>IFERROR(__xludf.DUMMYFUNCTION("""COMPUTED_VALUE"""),TRUE)</f>
        <v>1</v>
      </c>
      <c r="AC32" s="45" t="b">
        <f>IFERROR(__xludf.DUMMYFUNCTION("""COMPUTED_VALUE"""),FALSE)</f>
        <v>0</v>
      </c>
      <c r="AD32" s="45" t="b">
        <f>IFERROR(__xludf.DUMMYFUNCTION("""COMPUTED_VALUE"""),FALSE)</f>
        <v>0</v>
      </c>
      <c r="AE32" s="45" t="b">
        <f>IFERROR(__xludf.DUMMYFUNCTION("""COMPUTED_VALUE"""),FALSE)</f>
        <v>0</v>
      </c>
    </row>
    <row r="33">
      <c r="A33" s="6" t="b">
        <v>0</v>
      </c>
      <c r="B33" s="45" t="str">
        <f>IFERROR(__xludf.DUMMYFUNCTION("""COMPUTED_VALUE"""),"Salmon")</f>
        <v>Salmon</v>
      </c>
      <c r="C33" s="45">
        <f>IFERROR(__xludf.DUMMYFUNCTION("""COMPUTED_VALUE"""),700.0)</f>
        <v>700</v>
      </c>
      <c r="D33" s="45" t="str">
        <f>IFERROR(__xludf.DUMMYFUNCTION("""COMPUTED_VALUE"""),"All day")</f>
        <v>All day</v>
      </c>
      <c r="E33" s="45" t="str">
        <f>IFERROR(__xludf.DUMMYFUNCTION("""COMPUTED_VALUE"""),"River (mouth)")</f>
        <v>River (mouth)</v>
      </c>
      <c r="F33" s="45" t="str">
        <f>IFERROR(__xludf.DUMMYFUNCTION("""COMPUTED_VALUE"""),"Large")</f>
        <v>Large</v>
      </c>
      <c r="G33" s="45" t="b">
        <f>IFERROR(__xludf.DUMMYFUNCTION("""COMPUTED_VALUE"""),FALSE)</f>
        <v>0</v>
      </c>
      <c r="H33" s="45" t="b">
        <f>IFERROR(__xludf.DUMMYFUNCTION("""COMPUTED_VALUE"""),FALSE)</f>
        <v>0</v>
      </c>
      <c r="I33" s="45" t="b">
        <f>IFERROR(__xludf.DUMMYFUNCTION("""COMPUTED_VALUE"""),FALSE)</f>
        <v>0</v>
      </c>
      <c r="J33" s="45" t="b">
        <f>IFERROR(__xludf.DUMMYFUNCTION("""COMPUTED_VALUE"""),FALSE)</f>
        <v>0</v>
      </c>
      <c r="K33" s="45" t="b">
        <f>IFERROR(__xludf.DUMMYFUNCTION("""COMPUTED_VALUE"""),FALSE)</f>
        <v>0</v>
      </c>
      <c r="L33" s="45" t="b">
        <f>IFERROR(__xludf.DUMMYFUNCTION("""COMPUTED_VALUE"""),FALSE)</f>
        <v>0</v>
      </c>
      <c r="M33" s="45" t="b">
        <f>IFERROR(__xludf.DUMMYFUNCTION("""COMPUTED_VALUE"""),FALSE)</f>
        <v>0</v>
      </c>
      <c r="N33" s="45" t="b">
        <f>IFERROR(__xludf.DUMMYFUNCTION("""COMPUTED_VALUE"""),FALSE)</f>
        <v>0</v>
      </c>
      <c r="O33" s="45" t="b">
        <f>IFERROR(__xludf.DUMMYFUNCTION("""COMPUTED_VALUE"""),TRUE)</f>
        <v>1</v>
      </c>
      <c r="P33" s="45" t="b">
        <f>IFERROR(__xludf.DUMMYFUNCTION("""COMPUTED_VALUE"""),FALSE)</f>
        <v>0</v>
      </c>
      <c r="Q33" s="45" t="b">
        <f>IFERROR(__xludf.DUMMYFUNCTION("""COMPUTED_VALUE"""),FALSE)</f>
        <v>0</v>
      </c>
      <c r="R33" s="45" t="b">
        <f>IFERROR(__xludf.DUMMYFUNCTION("""COMPUTED_VALUE"""),FALSE)</f>
        <v>0</v>
      </c>
      <c r="S33" s="45"/>
      <c r="T33" s="45" t="b">
        <f>IFERROR(__xludf.DUMMYFUNCTION("""COMPUTED_VALUE"""),FALSE)</f>
        <v>0</v>
      </c>
      <c r="U33" s="45" t="b">
        <f>IFERROR(__xludf.DUMMYFUNCTION("""COMPUTED_VALUE"""),FALSE)</f>
        <v>0</v>
      </c>
      <c r="V33" s="45" t="b">
        <f>IFERROR(__xludf.DUMMYFUNCTION("""COMPUTED_VALUE"""),TRUE)</f>
        <v>1</v>
      </c>
      <c r="W33" s="45" t="b">
        <f>IFERROR(__xludf.DUMMYFUNCTION("""COMPUTED_VALUE"""),FALSE)</f>
        <v>0</v>
      </c>
      <c r="X33" s="45" t="b">
        <f>IFERROR(__xludf.DUMMYFUNCTION("""COMPUTED_VALUE"""),FALSE)</f>
        <v>0</v>
      </c>
      <c r="Y33" s="45" t="b">
        <f>IFERROR(__xludf.DUMMYFUNCTION("""COMPUTED_VALUE"""),FALSE)</f>
        <v>0</v>
      </c>
      <c r="Z33" s="45" t="b">
        <f>IFERROR(__xludf.DUMMYFUNCTION("""COMPUTED_VALUE"""),FALSE)</f>
        <v>0</v>
      </c>
      <c r="AA33" s="45" t="b">
        <f>IFERROR(__xludf.DUMMYFUNCTION("""COMPUTED_VALUE"""),FALSE)</f>
        <v>0</v>
      </c>
      <c r="AB33" s="45" t="b">
        <f>IFERROR(__xludf.DUMMYFUNCTION("""COMPUTED_VALUE"""),FALSE)</f>
        <v>0</v>
      </c>
      <c r="AC33" s="45" t="b">
        <f>IFERROR(__xludf.DUMMYFUNCTION("""COMPUTED_VALUE"""),FALSE)</f>
        <v>0</v>
      </c>
      <c r="AD33" s="45" t="b">
        <f>IFERROR(__xludf.DUMMYFUNCTION("""COMPUTED_VALUE"""),FALSE)</f>
        <v>0</v>
      </c>
      <c r="AE33" s="45" t="b">
        <f>IFERROR(__xludf.DUMMYFUNCTION("""COMPUTED_VALUE"""),FALSE)</f>
        <v>0</v>
      </c>
    </row>
    <row r="34">
      <c r="A34" s="6" t="b">
        <v>0</v>
      </c>
      <c r="B34" s="45" t="str">
        <f>IFERROR(__xludf.DUMMYFUNCTION("""COMPUTED_VALUE"""),"King salmon")</f>
        <v>King salmon</v>
      </c>
      <c r="C34" s="45">
        <f>IFERROR(__xludf.DUMMYFUNCTION("""COMPUTED_VALUE"""),1800.0)</f>
        <v>1800</v>
      </c>
      <c r="D34" s="45" t="str">
        <f>IFERROR(__xludf.DUMMYFUNCTION("""COMPUTED_VALUE"""),"All day")</f>
        <v>All day</v>
      </c>
      <c r="E34" s="45" t="str">
        <f>IFERROR(__xludf.DUMMYFUNCTION("""COMPUTED_VALUE"""),"River (mouth)")</f>
        <v>River (mouth)</v>
      </c>
      <c r="F34" s="45" t="str">
        <f>IFERROR(__xludf.DUMMYFUNCTION("""COMPUTED_VALUE"""),"Largest")</f>
        <v>Largest</v>
      </c>
      <c r="G34" s="45" t="b">
        <f>IFERROR(__xludf.DUMMYFUNCTION("""COMPUTED_VALUE"""),FALSE)</f>
        <v>0</v>
      </c>
      <c r="H34" s="45" t="b">
        <f>IFERROR(__xludf.DUMMYFUNCTION("""COMPUTED_VALUE"""),FALSE)</f>
        <v>0</v>
      </c>
      <c r="I34" s="45" t="b">
        <f>IFERROR(__xludf.DUMMYFUNCTION("""COMPUTED_VALUE"""),FALSE)</f>
        <v>0</v>
      </c>
      <c r="J34" s="45" t="b">
        <f>IFERROR(__xludf.DUMMYFUNCTION("""COMPUTED_VALUE"""),FALSE)</f>
        <v>0</v>
      </c>
      <c r="K34" s="45" t="b">
        <f>IFERROR(__xludf.DUMMYFUNCTION("""COMPUTED_VALUE"""),FALSE)</f>
        <v>0</v>
      </c>
      <c r="L34" s="45" t="b">
        <f>IFERROR(__xludf.DUMMYFUNCTION("""COMPUTED_VALUE"""),FALSE)</f>
        <v>0</v>
      </c>
      <c r="M34" s="45" t="b">
        <f>IFERROR(__xludf.DUMMYFUNCTION("""COMPUTED_VALUE"""),FALSE)</f>
        <v>0</v>
      </c>
      <c r="N34" s="45" t="b">
        <f>IFERROR(__xludf.DUMMYFUNCTION("""COMPUTED_VALUE"""),FALSE)</f>
        <v>0</v>
      </c>
      <c r="O34" s="45" t="b">
        <f>IFERROR(__xludf.DUMMYFUNCTION("""COMPUTED_VALUE"""),TRUE)</f>
        <v>1</v>
      </c>
      <c r="P34" s="45" t="b">
        <f>IFERROR(__xludf.DUMMYFUNCTION("""COMPUTED_VALUE"""),FALSE)</f>
        <v>0</v>
      </c>
      <c r="Q34" s="45" t="b">
        <f>IFERROR(__xludf.DUMMYFUNCTION("""COMPUTED_VALUE"""),FALSE)</f>
        <v>0</v>
      </c>
      <c r="R34" s="45" t="b">
        <f>IFERROR(__xludf.DUMMYFUNCTION("""COMPUTED_VALUE"""),FALSE)</f>
        <v>0</v>
      </c>
      <c r="S34" s="45"/>
      <c r="T34" s="45" t="b">
        <f>IFERROR(__xludf.DUMMYFUNCTION("""COMPUTED_VALUE"""),FALSE)</f>
        <v>0</v>
      </c>
      <c r="U34" s="45" t="b">
        <f>IFERROR(__xludf.DUMMYFUNCTION("""COMPUTED_VALUE"""),FALSE)</f>
        <v>0</v>
      </c>
      <c r="V34" s="45" t="b">
        <f>IFERROR(__xludf.DUMMYFUNCTION("""COMPUTED_VALUE"""),TRUE)</f>
        <v>1</v>
      </c>
      <c r="W34" s="45" t="b">
        <f>IFERROR(__xludf.DUMMYFUNCTION("""COMPUTED_VALUE"""),FALSE)</f>
        <v>0</v>
      </c>
      <c r="X34" s="45" t="b">
        <f>IFERROR(__xludf.DUMMYFUNCTION("""COMPUTED_VALUE"""),FALSE)</f>
        <v>0</v>
      </c>
      <c r="Y34" s="45" t="b">
        <f>IFERROR(__xludf.DUMMYFUNCTION("""COMPUTED_VALUE"""),FALSE)</f>
        <v>0</v>
      </c>
      <c r="Z34" s="45" t="b">
        <f>IFERROR(__xludf.DUMMYFUNCTION("""COMPUTED_VALUE"""),FALSE)</f>
        <v>0</v>
      </c>
      <c r="AA34" s="45" t="b">
        <f>IFERROR(__xludf.DUMMYFUNCTION("""COMPUTED_VALUE"""),FALSE)</f>
        <v>0</v>
      </c>
      <c r="AB34" s="45" t="b">
        <f>IFERROR(__xludf.DUMMYFUNCTION("""COMPUTED_VALUE"""),FALSE)</f>
        <v>0</v>
      </c>
      <c r="AC34" s="45" t="b">
        <f>IFERROR(__xludf.DUMMYFUNCTION("""COMPUTED_VALUE"""),FALSE)</f>
        <v>0</v>
      </c>
      <c r="AD34" s="45" t="b">
        <f>IFERROR(__xludf.DUMMYFUNCTION("""COMPUTED_VALUE"""),FALSE)</f>
        <v>0</v>
      </c>
      <c r="AE34" s="45" t="b">
        <f>IFERROR(__xludf.DUMMYFUNCTION("""COMPUTED_VALUE"""),FALSE)</f>
        <v>0</v>
      </c>
    </row>
    <row r="35">
      <c r="A35" s="6" t="b">
        <v>0</v>
      </c>
      <c r="B35" s="45" t="str">
        <f>IFERROR(__xludf.DUMMYFUNCTION("""COMPUTED_VALUE"""),"Mitten crab")</f>
        <v>Mitten crab</v>
      </c>
      <c r="C35" s="45">
        <f>IFERROR(__xludf.DUMMYFUNCTION("""COMPUTED_VALUE"""),2000.0)</f>
        <v>2000</v>
      </c>
      <c r="D35" s="45" t="str">
        <f>IFERROR(__xludf.DUMMYFUNCTION("""COMPUTED_VALUE"""),"4 p.m. - 9 a.m.")</f>
        <v>4 p.m. - 9 a.m.</v>
      </c>
      <c r="E35" s="45" t="str">
        <f>IFERROR(__xludf.DUMMYFUNCTION("""COMPUTED_VALUE"""),"River")</f>
        <v>River</v>
      </c>
      <c r="F35" s="45" t="str">
        <f>IFERROR(__xludf.DUMMYFUNCTION("""COMPUTED_VALUE"""),"Small")</f>
        <v>Small</v>
      </c>
      <c r="G35" s="45" t="b">
        <f>IFERROR(__xludf.DUMMYFUNCTION("""COMPUTED_VALUE"""),FALSE)</f>
        <v>0</v>
      </c>
      <c r="H35" s="45" t="b">
        <f>IFERROR(__xludf.DUMMYFUNCTION("""COMPUTED_VALUE"""),FALSE)</f>
        <v>0</v>
      </c>
      <c r="I35" s="45" t="b">
        <f>IFERROR(__xludf.DUMMYFUNCTION("""COMPUTED_VALUE"""),FALSE)</f>
        <v>0</v>
      </c>
      <c r="J35" s="45" t="b">
        <f>IFERROR(__xludf.DUMMYFUNCTION("""COMPUTED_VALUE"""),FALSE)</f>
        <v>0</v>
      </c>
      <c r="K35" s="45" t="b">
        <f>IFERROR(__xludf.DUMMYFUNCTION("""COMPUTED_VALUE"""),FALSE)</f>
        <v>0</v>
      </c>
      <c r="L35" s="45" t="b">
        <f>IFERROR(__xludf.DUMMYFUNCTION("""COMPUTED_VALUE"""),FALSE)</f>
        <v>0</v>
      </c>
      <c r="M35" s="45" t="b">
        <f>IFERROR(__xludf.DUMMYFUNCTION("""COMPUTED_VALUE"""),FALSE)</f>
        <v>0</v>
      </c>
      <c r="N35" s="45" t="b">
        <f>IFERROR(__xludf.DUMMYFUNCTION("""COMPUTED_VALUE"""),FALSE)</f>
        <v>0</v>
      </c>
      <c r="O35" s="45" t="b">
        <f>IFERROR(__xludf.DUMMYFUNCTION("""COMPUTED_VALUE"""),TRUE)</f>
        <v>1</v>
      </c>
      <c r="P35" s="45" t="b">
        <f>IFERROR(__xludf.DUMMYFUNCTION("""COMPUTED_VALUE"""),TRUE)</f>
        <v>1</v>
      </c>
      <c r="Q35" s="45" t="b">
        <f>IFERROR(__xludf.DUMMYFUNCTION("""COMPUTED_VALUE"""),TRUE)</f>
        <v>1</v>
      </c>
      <c r="R35" s="45" t="b">
        <f>IFERROR(__xludf.DUMMYFUNCTION("""COMPUTED_VALUE"""),FALSE)</f>
        <v>0</v>
      </c>
      <c r="S35" s="45"/>
      <c r="T35" s="45" t="b">
        <f>IFERROR(__xludf.DUMMYFUNCTION("""COMPUTED_VALUE"""),FALSE)</f>
        <v>0</v>
      </c>
      <c r="U35" s="45" t="b">
        <f>IFERROR(__xludf.DUMMYFUNCTION("""COMPUTED_VALUE"""),FALSE)</f>
        <v>0</v>
      </c>
      <c r="V35" s="45" t="b">
        <f>IFERROR(__xludf.DUMMYFUNCTION("""COMPUTED_VALUE"""),TRUE)</f>
        <v>1</v>
      </c>
      <c r="W35" s="45" t="b">
        <f>IFERROR(__xludf.DUMMYFUNCTION("""COMPUTED_VALUE"""),TRUE)</f>
        <v>1</v>
      </c>
      <c r="X35" s="45" t="b">
        <f>IFERROR(__xludf.DUMMYFUNCTION("""COMPUTED_VALUE"""),TRUE)</f>
        <v>1</v>
      </c>
      <c r="Y35" s="45" t="b">
        <f>IFERROR(__xludf.DUMMYFUNCTION("""COMPUTED_VALUE"""),FALSE)</f>
        <v>0</v>
      </c>
      <c r="Z35" s="45" t="b">
        <f>IFERROR(__xludf.DUMMYFUNCTION("""COMPUTED_VALUE"""),FALSE)</f>
        <v>0</v>
      </c>
      <c r="AA35" s="45" t="b">
        <f>IFERROR(__xludf.DUMMYFUNCTION("""COMPUTED_VALUE"""),FALSE)</f>
        <v>0</v>
      </c>
      <c r="AB35" s="45" t="b">
        <f>IFERROR(__xludf.DUMMYFUNCTION("""COMPUTED_VALUE"""),FALSE)</f>
        <v>0</v>
      </c>
      <c r="AC35" s="45" t="b">
        <f>IFERROR(__xludf.DUMMYFUNCTION("""COMPUTED_VALUE"""),FALSE)</f>
        <v>0</v>
      </c>
      <c r="AD35" s="45" t="b">
        <f>IFERROR(__xludf.DUMMYFUNCTION("""COMPUTED_VALUE"""),FALSE)</f>
        <v>0</v>
      </c>
      <c r="AE35" s="45" t="b">
        <f>IFERROR(__xludf.DUMMYFUNCTION("""COMPUTED_VALUE"""),FALSE)</f>
        <v>0</v>
      </c>
    </row>
    <row r="36">
      <c r="A36" s="6" t="b">
        <v>0</v>
      </c>
      <c r="B36" s="45" t="str">
        <f>IFERROR(__xludf.DUMMYFUNCTION("""COMPUTED_VALUE"""),"Guppy")</f>
        <v>Guppy</v>
      </c>
      <c r="C36" s="45">
        <f>IFERROR(__xludf.DUMMYFUNCTION("""COMPUTED_VALUE"""),1300.0)</f>
        <v>1300</v>
      </c>
      <c r="D36" s="45" t="str">
        <f>IFERROR(__xludf.DUMMYFUNCTION("""COMPUTED_VALUE"""),"9 a.m. - 4 p.m.")</f>
        <v>9 a.m. - 4 p.m.</v>
      </c>
      <c r="E36" s="45" t="str">
        <f>IFERROR(__xludf.DUMMYFUNCTION("""COMPUTED_VALUE"""),"River")</f>
        <v>River</v>
      </c>
      <c r="F36" s="45" t="str">
        <f>IFERROR(__xludf.DUMMYFUNCTION("""COMPUTED_VALUE"""),"Smallest")</f>
        <v>Smallest</v>
      </c>
      <c r="G36" s="45" t="b">
        <f>IFERROR(__xludf.DUMMYFUNCTION("""COMPUTED_VALUE"""),FALSE)</f>
        <v>0</v>
      </c>
      <c r="H36" s="45" t="b">
        <f>IFERROR(__xludf.DUMMYFUNCTION("""COMPUTED_VALUE"""),FALSE)</f>
        <v>0</v>
      </c>
      <c r="I36" s="45" t="b">
        <f>IFERROR(__xludf.DUMMYFUNCTION("""COMPUTED_VALUE"""),FALSE)</f>
        <v>0</v>
      </c>
      <c r="J36" s="45" t="b">
        <f>IFERROR(__xludf.DUMMYFUNCTION("""COMPUTED_VALUE"""),TRUE)</f>
        <v>1</v>
      </c>
      <c r="K36" s="45" t="b">
        <f>IFERROR(__xludf.DUMMYFUNCTION("""COMPUTED_VALUE"""),TRUE)</f>
        <v>1</v>
      </c>
      <c r="L36" s="45" t="b">
        <f>IFERROR(__xludf.DUMMYFUNCTION("""COMPUTED_VALUE"""),TRUE)</f>
        <v>1</v>
      </c>
      <c r="M36" s="45" t="b">
        <f>IFERROR(__xludf.DUMMYFUNCTION("""COMPUTED_VALUE"""),TRUE)</f>
        <v>1</v>
      </c>
      <c r="N36" s="45" t="b">
        <f>IFERROR(__xludf.DUMMYFUNCTION("""COMPUTED_VALUE"""),TRUE)</f>
        <v>1</v>
      </c>
      <c r="O36" s="45" t="b">
        <f>IFERROR(__xludf.DUMMYFUNCTION("""COMPUTED_VALUE"""),TRUE)</f>
        <v>1</v>
      </c>
      <c r="P36" s="45" t="b">
        <f>IFERROR(__xludf.DUMMYFUNCTION("""COMPUTED_VALUE"""),TRUE)</f>
        <v>1</v>
      </c>
      <c r="Q36" s="45" t="b">
        <f>IFERROR(__xludf.DUMMYFUNCTION("""COMPUTED_VALUE"""),TRUE)</f>
        <v>1</v>
      </c>
      <c r="R36" s="45" t="b">
        <f>IFERROR(__xludf.DUMMYFUNCTION("""COMPUTED_VALUE"""),FALSE)</f>
        <v>0</v>
      </c>
      <c r="S36" s="45"/>
      <c r="T36" s="45" t="b">
        <f>IFERROR(__xludf.DUMMYFUNCTION("""COMPUTED_VALUE"""),TRUE)</f>
        <v>1</v>
      </c>
      <c r="U36" s="45" t="b">
        <f>IFERROR(__xludf.DUMMYFUNCTION("""COMPUTED_VALUE"""),TRUE)</f>
        <v>1</v>
      </c>
      <c r="V36" s="45" t="b">
        <f>IFERROR(__xludf.DUMMYFUNCTION("""COMPUTED_VALUE"""),TRUE)</f>
        <v>1</v>
      </c>
      <c r="W36" s="45" t="b">
        <f>IFERROR(__xludf.DUMMYFUNCTION("""COMPUTED_VALUE"""),TRUE)</f>
        <v>1</v>
      </c>
      <c r="X36" s="45" t="b">
        <f>IFERROR(__xludf.DUMMYFUNCTION("""COMPUTED_VALUE"""),TRUE)</f>
        <v>1</v>
      </c>
      <c r="Y36" s="45" t="b">
        <f>IFERROR(__xludf.DUMMYFUNCTION("""COMPUTED_VALUE"""),FALSE)</f>
        <v>0</v>
      </c>
      <c r="Z36" s="45" t="b">
        <f>IFERROR(__xludf.DUMMYFUNCTION("""COMPUTED_VALUE"""),FALSE)</f>
        <v>0</v>
      </c>
      <c r="AA36" s="45" t="b">
        <f>IFERROR(__xludf.DUMMYFUNCTION("""COMPUTED_VALUE"""),FALSE)</f>
        <v>0</v>
      </c>
      <c r="AB36" s="45" t="b">
        <f>IFERROR(__xludf.DUMMYFUNCTION("""COMPUTED_VALUE"""),FALSE)</f>
        <v>0</v>
      </c>
      <c r="AC36" s="45" t="b">
        <f>IFERROR(__xludf.DUMMYFUNCTION("""COMPUTED_VALUE"""),TRUE)</f>
        <v>1</v>
      </c>
      <c r="AD36" s="45" t="b">
        <f>IFERROR(__xludf.DUMMYFUNCTION("""COMPUTED_VALUE"""),TRUE)</f>
        <v>1</v>
      </c>
      <c r="AE36" s="45" t="b">
        <f>IFERROR(__xludf.DUMMYFUNCTION("""COMPUTED_VALUE"""),TRUE)</f>
        <v>1</v>
      </c>
    </row>
    <row r="37">
      <c r="A37" s="6" t="b">
        <v>0</v>
      </c>
      <c r="B37" s="45" t="str">
        <f>IFERROR(__xludf.DUMMYFUNCTION("""COMPUTED_VALUE"""),"Nibble fish")</f>
        <v>Nibble fish</v>
      </c>
      <c r="C37" s="45">
        <f>IFERROR(__xludf.DUMMYFUNCTION("""COMPUTED_VALUE"""),1500.0)</f>
        <v>1500</v>
      </c>
      <c r="D37" s="45" t="str">
        <f>IFERROR(__xludf.DUMMYFUNCTION("""COMPUTED_VALUE"""),"9 a.m. - 4 p.m.")</f>
        <v>9 a.m. - 4 p.m.</v>
      </c>
      <c r="E37" s="45" t="str">
        <f>IFERROR(__xludf.DUMMYFUNCTION("""COMPUTED_VALUE"""),"River")</f>
        <v>River</v>
      </c>
      <c r="F37" s="45" t="str">
        <f>IFERROR(__xludf.DUMMYFUNCTION("""COMPUTED_VALUE"""),"Small")</f>
        <v>Small</v>
      </c>
      <c r="G37" s="45" t="b">
        <f>IFERROR(__xludf.DUMMYFUNCTION("""COMPUTED_VALUE"""),FALSE)</f>
        <v>0</v>
      </c>
      <c r="H37" s="45" t="b">
        <f>IFERROR(__xludf.DUMMYFUNCTION("""COMPUTED_VALUE"""),FALSE)</f>
        <v>0</v>
      </c>
      <c r="I37" s="45" t="b">
        <f>IFERROR(__xludf.DUMMYFUNCTION("""COMPUTED_VALUE"""),FALSE)</f>
        <v>0</v>
      </c>
      <c r="J37" s="45" t="b">
        <f>IFERROR(__xludf.DUMMYFUNCTION("""COMPUTED_VALUE"""),FALSE)</f>
        <v>0</v>
      </c>
      <c r="K37" s="45" t="b">
        <f>IFERROR(__xludf.DUMMYFUNCTION("""COMPUTED_VALUE"""),TRUE)</f>
        <v>1</v>
      </c>
      <c r="L37" s="45" t="b">
        <f>IFERROR(__xludf.DUMMYFUNCTION("""COMPUTED_VALUE"""),TRUE)</f>
        <v>1</v>
      </c>
      <c r="M37" s="45" t="b">
        <f>IFERROR(__xludf.DUMMYFUNCTION("""COMPUTED_VALUE"""),TRUE)</f>
        <v>1</v>
      </c>
      <c r="N37" s="45" t="b">
        <f>IFERROR(__xludf.DUMMYFUNCTION("""COMPUTED_VALUE"""),TRUE)</f>
        <v>1</v>
      </c>
      <c r="O37" s="45" t="b">
        <f>IFERROR(__xludf.DUMMYFUNCTION("""COMPUTED_VALUE"""),TRUE)</f>
        <v>1</v>
      </c>
      <c r="P37" s="45" t="b">
        <f>IFERROR(__xludf.DUMMYFUNCTION("""COMPUTED_VALUE"""),FALSE)</f>
        <v>0</v>
      </c>
      <c r="Q37" s="45" t="b">
        <f>IFERROR(__xludf.DUMMYFUNCTION("""COMPUTED_VALUE"""),FALSE)</f>
        <v>0</v>
      </c>
      <c r="R37" s="45" t="b">
        <f>IFERROR(__xludf.DUMMYFUNCTION("""COMPUTED_VALUE"""),FALSE)</f>
        <v>0</v>
      </c>
      <c r="S37" s="45"/>
      <c r="T37" s="45" t="b">
        <f>IFERROR(__xludf.DUMMYFUNCTION("""COMPUTED_VALUE"""),TRUE)</f>
        <v>1</v>
      </c>
      <c r="U37" s="45" t="b">
        <f>IFERROR(__xludf.DUMMYFUNCTION("""COMPUTED_VALUE"""),TRUE)</f>
        <v>1</v>
      </c>
      <c r="V37" s="45" t="b">
        <f>IFERROR(__xludf.DUMMYFUNCTION("""COMPUTED_VALUE"""),TRUE)</f>
        <v>1</v>
      </c>
      <c r="W37" s="45" t="b">
        <f>IFERROR(__xludf.DUMMYFUNCTION("""COMPUTED_VALUE"""),FALSE)</f>
        <v>0</v>
      </c>
      <c r="X37" s="45" t="b">
        <f>IFERROR(__xludf.DUMMYFUNCTION("""COMPUTED_VALUE"""),FALSE)</f>
        <v>0</v>
      </c>
      <c r="Y37" s="45" t="b">
        <f>IFERROR(__xludf.DUMMYFUNCTION("""COMPUTED_VALUE"""),FALSE)</f>
        <v>0</v>
      </c>
      <c r="Z37" s="45" t="b">
        <f>IFERROR(__xludf.DUMMYFUNCTION("""COMPUTED_VALUE"""),FALSE)</f>
        <v>0</v>
      </c>
      <c r="AA37" s="45" t="b">
        <f>IFERROR(__xludf.DUMMYFUNCTION("""COMPUTED_VALUE"""),FALSE)</f>
        <v>0</v>
      </c>
      <c r="AB37" s="45" t="b">
        <f>IFERROR(__xludf.DUMMYFUNCTION("""COMPUTED_VALUE"""),FALSE)</f>
        <v>0</v>
      </c>
      <c r="AC37" s="45" t="b">
        <f>IFERROR(__xludf.DUMMYFUNCTION("""COMPUTED_VALUE"""),FALSE)</f>
        <v>0</v>
      </c>
      <c r="AD37" s="45" t="b">
        <f>IFERROR(__xludf.DUMMYFUNCTION("""COMPUTED_VALUE"""),TRUE)</f>
        <v>1</v>
      </c>
      <c r="AE37" s="45" t="b">
        <f>IFERROR(__xludf.DUMMYFUNCTION("""COMPUTED_VALUE"""),TRUE)</f>
        <v>1</v>
      </c>
    </row>
    <row r="38">
      <c r="A38" s="6" t="b">
        <v>0</v>
      </c>
      <c r="B38" s="45" t="str">
        <f>IFERROR(__xludf.DUMMYFUNCTION("""COMPUTED_VALUE"""),"Angelfish")</f>
        <v>Angelfish</v>
      </c>
      <c r="C38" s="45">
        <f>IFERROR(__xludf.DUMMYFUNCTION("""COMPUTED_VALUE"""),3000.0)</f>
        <v>3000</v>
      </c>
      <c r="D38" s="45" t="str">
        <f>IFERROR(__xludf.DUMMYFUNCTION("""COMPUTED_VALUE"""),"4 p.m. - 9 a.m.")</f>
        <v>4 p.m. - 9 a.m.</v>
      </c>
      <c r="E38" s="45" t="str">
        <f>IFERROR(__xludf.DUMMYFUNCTION("""COMPUTED_VALUE"""),"River")</f>
        <v>River</v>
      </c>
      <c r="F38" s="45" t="str">
        <f>IFERROR(__xludf.DUMMYFUNCTION("""COMPUTED_VALUE"""),"Small")</f>
        <v>Small</v>
      </c>
      <c r="G38" s="45" t="b">
        <f>IFERROR(__xludf.DUMMYFUNCTION("""COMPUTED_VALUE"""),FALSE)</f>
        <v>0</v>
      </c>
      <c r="H38" s="45" t="b">
        <f>IFERROR(__xludf.DUMMYFUNCTION("""COMPUTED_VALUE"""),FALSE)</f>
        <v>0</v>
      </c>
      <c r="I38" s="45" t="b">
        <f>IFERROR(__xludf.DUMMYFUNCTION("""COMPUTED_VALUE"""),FALSE)</f>
        <v>0</v>
      </c>
      <c r="J38" s="45" t="b">
        <f>IFERROR(__xludf.DUMMYFUNCTION("""COMPUTED_VALUE"""),FALSE)</f>
        <v>0</v>
      </c>
      <c r="K38" s="45" t="b">
        <f>IFERROR(__xludf.DUMMYFUNCTION("""COMPUTED_VALUE"""),TRUE)</f>
        <v>1</v>
      </c>
      <c r="L38" s="45" t="b">
        <f>IFERROR(__xludf.DUMMYFUNCTION("""COMPUTED_VALUE"""),TRUE)</f>
        <v>1</v>
      </c>
      <c r="M38" s="45" t="b">
        <f>IFERROR(__xludf.DUMMYFUNCTION("""COMPUTED_VALUE"""),TRUE)</f>
        <v>1</v>
      </c>
      <c r="N38" s="45" t="b">
        <f>IFERROR(__xludf.DUMMYFUNCTION("""COMPUTED_VALUE"""),TRUE)</f>
        <v>1</v>
      </c>
      <c r="O38" s="45" t="b">
        <f>IFERROR(__xludf.DUMMYFUNCTION("""COMPUTED_VALUE"""),TRUE)</f>
        <v>1</v>
      </c>
      <c r="P38" s="45" t="b">
        <f>IFERROR(__xludf.DUMMYFUNCTION("""COMPUTED_VALUE"""),TRUE)</f>
        <v>1</v>
      </c>
      <c r="Q38" s="45" t="b">
        <f>IFERROR(__xludf.DUMMYFUNCTION("""COMPUTED_VALUE"""),FALSE)</f>
        <v>0</v>
      </c>
      <c r="R38" s="45" t="b">
        <f>IFERROR(__xludf.DUMMYFUNCTION("""COMPUTED_VALUE"""),FALSE)</f>
        <v>0</v>
      </c>
      <c r="S38" s="45"/>
      <c r="T38" s="45" t="b">
        <f>IFERROR(__xludf.DUMMYFUNCTION("""COMPUTED_VALUE"""),TRUE)</f>
        <v>1</v>
      </c>
      <c r="U38" s="45" t="b">
        <f>IFERROR(__xludf.DUMMYFUNCTION("""COMPUTED_VALUE"""),TRUE)</f>
        <v>1</v>
      </c>
      <c r="V38" s="45" t="b">
        <f>IFERROR(__xludf.DUMMYFUNCTION("""COMPUTED_VALUE"""),TRUE)</f>
        <v>1</v>
      </c>
      <c r="W38" s="45" t="b">
        <f>IFERROR(__xludf.DUMMYFUNCTION("""COMPUTED_VALUE"""),TRUE)</f>
        <v>1</v>
      </c>
      <c r="X38" s="45" t="b">
        <f>IFERROR(__xludf.DUMMYFUNCTION("""COMPUTED_VALUE"""),FALSE)</f>
        <v>0</v>
      </c>
      <c r="Y38" s="45" t="b">
        <f>IFERROR(__xludf.DUMMYFUNCTION("""COMPUTED_VALUE"""),FALSE)</f>
        <v>0</v>
      </c>
      <c r="Z38" s="45" t="b">
        <f>IFERROR(__xludf.DUMMYFUNCTION("""COMPUTED_VALUE"""),FALSE)</f>
        <v>0</v>
      </c>
      <c r="AA38" s="45" t="b">
        <f>IFERROR(__xludf.DUMMYFUNCTION("""COMPUTED_VALUE"""),FALSE)</f>
        <v>0</v>
      </c>
      <c r="AB38" s="45" t="b">
        <f>IFERROR(__xludf.DUMMYFUNCTION("""COMPUTED_VALUE"""),FALSE)</f>
        <v>0</v>
      </c>
      <c r="AC38" s="45" t="b">
        <f>IFERROR(__xludf.DUMMYFUNCTION("""COMPUTED_VALUE"""),FALSE)</f>
        <v>0</v>
      </c>
      <c r="AD38" s="45" t="b">
        <f>IFERROR(__xludf.DUMMYFUNCTION("""COMPUTED_VALUE"""),TRUE)</f>
        <v>1</v>
      </c>
      <c r="AE38" s="45" t="b">
        <f>IFERROR(__xludf.DUMMYFUNCTION("""COMPUTED_VALUE"""),TRUE)</f>
        <v>1</v>
      </c>
    </row>
    <row r="39">
      <c r="A39" s="6" t="b">
        <v>0</v>
      </c>
      <c r="B39" s="45" t="str">
        <f>IFERROR(__xludf.DUMMYFUNCTION("""COMPUTED_VALUE"""),"Betta")</f>
        <v>Betta</v>
      </c>
      <c r="C39" s="45">
        <f>IFERROR(__xludf.DUMMYFUNCTION("""COMPUTED_VALUE"""),2500.0)</f>
        <v>2500</v>
      </c>
      <c r="D39" s="45" t="str">
        <f>IFERROR(__xludf.DUMMYFUNCTION("""COMPUTED_VALUE"""),"9 a.m. - 4 p.m.")</f>
        <v>9 a.m. - 4 p.m.</v>
      </c>
      <c r="E39" s="45" t="str">
        <f>IFERROR(__xludf.DUMMYFUNCTION("""COMPUTED_VALUE"""),"River")</f>
        <v>River</v>
      </c>
      <c r="F39" s="45" t="str">
        <f>IFERROR(__xludf.DUMMYFUNCTION("""COMPUTED_VALUE"""),"Small")</f>
        <v>Small</v>
      </c>
      <c r="G39" s="45" t="b">
        <f>IFERROR(__xludf.DUMMYFUNCTION("""COMPUTED_VALUE"""),FALSE)</f>
        <v>0</v>
      </c>
      <c r="H39" s="45" t="b">
        <f>IFERROR(__xludf.DUMMYFUNCTION("""COMPUTED_VALUE"""),FALSE)</f>
        <v>0</v>
      </c>
      <c r="I39" s="45" t="b">
        <f>IFERROR(__xludf.DUMMYFUNCTION("""COMPUTED_VALUE"""),FALSE)</f>
        <v>0</v>
      </c>
      <c r="J39" s="45" t="b">
        <f>IFERROR(__xludf.DUMMYFUNCTION("""COMPUTED_VALUE"""),FALSE)</f>
        <v>0</v>
      </c>
      <c r="K39" s="45" t="b">
        <f>IFERROR(__xludf.DUMMYFUNCTION("""COMPUTED_VALUE"""),TRUE)</f>
        <v>1</v>
      </c>
      <c r="L39" s="45" t="b">
        <f>IFERROR(__xludf.DUMMYFUNCTION("""COMPUTED_VALUE"""),TRUE)</f>
        <v>1</v>
      </c>
      <c r="M39" s="45" t="b">
        <f>IFERROR(__xludf.DUMMYFUNCTION("""COMPUTED_VALUE"""),TRUE)</f>
        <v>1</v>
      </c>
      <c r="N39" s="45" t="b">
        <f>IFERROR(__xludf.DUMMYFUNCTION("""COMPUTED_VALUE"""),TRUE)</f>
        <v>1</v>
      </c>
      <c r="O39" s="45" t="b">
        <f>IFERROR(__xludf.DUMMYFUNCTION("""COMPUTED_VALUE"""),TRUE)</f>
        <v>1</v>
      </c>
      <c r="P39" s="45" t="b">
        <f>IFERROR(__xludf.DUMMYFUNCTION("""COMPUTED_VALUE"""),TRUE)</f>
        <v>1</v>
      </c>
      <c r="Q39" s="45" t="b">
        <f>IFERROR(__xludf.DUMMYFUNCTION("""COMPUTED_VALUE"""),FALSE)</f>
        <v>0</v>
      </c>
      <c r="R39" s="45" t="b">
        <f>IFERROR(__xludf.DUMMYFUNCTION("""COMPUTED_VALUE"""),FALSE)</f>
        <v>0</v>
      </c>
      <c r="S39" s="45"/>
      <c r="T39" s="45" t="b">
        <f>IFERROR(__xludf.DUMMYFUNCTION("""COMPUTED_VALUE"""),TRUE)</f>
        <v>1</v>
      </c>
      <c r="U39" s="45" t="b">
        <f>IFERROR(__xludf.DUMMYFUNCTION("""COMPUTED_VALUE"""),TRUE)</f>
        <v>1</v>
      </c>
      <c r="V39" s="45" t="b">
        <f>IFERROR(__xludf.DUMMYFUNCTION("""COMPUTED_VALUE"""),TRUE)</f>
        <v>1</v>
      </c>
      <c r="W39" s="45" t="b">
        <f>IFERROR(__xludf.DUMMYFUNCTION("""COMPUTED_VALUE"""),TRUE)</f>
        <v>1</v>
      </c>
      <c r="X39" s="45" t="b">
        <f>IFERROR(__xludf.DUMMYFUNCTION("""COMPUTED_VALUE"""),FALSE)</f>
        <v>0</v>
      </c>
      <c r="Y39" s="45" t="b">
        <f>IFERROR(__xludf.DUMMYFUNCTION("""COMPUTED_VALUE"""),FALSE)</f>
        <v>0</v>
      </c>
      <c r="Z39" s="45" t="b">
        <f>IFERROR(__xludf.DUMMYFUNCTION("""COMPUTED_VALUE"""),FALSE)</f>
        <v>0</v>
      </c>
      <c r="AA39" s="45" t="b">
        <f>IFERROR(__xludf.DUMMYFUNCTION("""COMPUTED_VALUE"""),FALSE)</f>
        <v>0</v>
      </c>
      <c r="AB39" s="45" t="b">
        <f>IFERROR(__xludf.DUMMYFUNCTION("""COMPUTED_VALUE"""),FALSE)</f>
        <v>0</v>
      </c>
      <c r="AC39" s="45" t="b">
        <f>IFERROR(__xludf.DUMMYFUNCTION("""COMPUTED_VALUE"""),FALSE)</f>
        <v>0</v>
      </c>
      <c r="AD39" s="45" t="b">
        <f>IFERROR(__xludf.DUMMYFUNCTION("""COMPUTED_VALUE"""),TRUE)</f>
        <v>1</v>
      </c>
      <c r="AE39" s="45" t="b">
        <f>IFERROR(__xludf.DUMMYFUNCTION("""COMPUTED_VALUE"""),TRUE)</f>
        <v>1</v>
      </c>
    </row>
    <row r="40">
      <c r="A40" s="6" t="b">
        <v>0</v>
      </c>
      <c r="B40" s="45" t="str">
        <f>IFERROR(__xludf.DUMMYFUNCTION("""COMPUTED_VALUE"""),"Neon tetra")</f>
        <v>Neon tetra</v>
      </c>
      <c r="C40" s="45">
        <f>IFERROR(__xludf.DUMMYFUNCTION("""COMPUTED_VALUE"""),500.0)</f>
        <v>500</v>
      </c>
      <c r="D40" s="45" t="str">
        <f>IFERROR(__xludf.DUMMYFUNCTION("""COMPUTED_VALUE"""),"9 a.m. - 4 p.m.")</f>
        <v>9 a.m. - 4 p.m.</v>
      </c>
      <c r="E40" s="45" t="str">
        <f>IFERROR(__xludf.DUMMYFUNCTION("""COMPUTED_VALUE"""),"River")</f>
        <v>River</v>
      </c>
      <c r="F40" s="45" t="str">
        <f>IFERROR(__xludf.DUMMYFUNCTION("""COMPUTED_VALUE"""),"Smallest")</f>
        <v>Smallest</v>
      </c>
      <c r="G40" s="45" t="b">
        <f>IFERROR(__xludf.DUMMYFUNCTION("""COMPUTED_VALUE"""),FALSE)</f>
        <v>0</v>
      </c>
      <c r="H40" s="45" t="b">
        <f>IFERROR(__xludf.DUMMYFUNCTION("""COMPUTED_VALUE"""),FALSE)</f>
        <v>0</v>
      </c>
      <c r="I40" s="45" t="b">
        <f>IFERROR(__xludf.DUMMYFUNCTION("""COMPUTED_VALUE"""),FALSE)</f>
        <v>0</v>
      </c>
      <c r="J40" s="45" t="b">
        <f>IFERROR(__xludf.DUMMYFUNCTION("""COMPUTED_VALUE"""),TRUE)</f>
        <v>1</v>
      </c>
      <c r="K40" s="45" t="b">
        <f>IFERROR(__xludf.DUMMYFUNCTION("""COMPUTED_VALUE"""),TRUE)</f>
        <v>1</v>
      </c>
      <c r="L40" s="45" t="b">
        <f>IFERROR(__xludf.DUMMYFUNCTION("""COMPUTED_VALUE"""),TRUE)</f>
        <v>1</v>
      </c>
      <c r="M40" s="45" t="b">
        <f>IFERROR(__xludf.DUMMYFUNCTION("""COMPUTED_VALUE"""),TRUE)</f>
        <v>1</v>
      </c>
      <c r="N40" s="45" t="b">
        <f>IFERROR(__xludf.DUMMYFUNCTION("""COMPUTED_VALUE"""),TRUE)</f>
        <v>1</v>
      </c>
      <c r="O40" s="45" t="b">
        <f>IFERROR(__xludf.DUMMYFUNCTION("""COMPUTED_VALUE"""),TRUE)</f>
        <v>1</v>
      </c>
      <c r="P40" s="45" t="b">
        <f>IFERROR(__xludf.DUMMYFUNCTION("""COMPUTED_VALUE"""),TRUE)</f>
        <v>1</v>
      </c>
      <c r="Q40" s="45" t="b">
        <f>IFERROR(__xludf.DUMMYFUNCTION("""COMPUTED_VALUE"""),TRUE)</f>
        <v>1</v>
      </c>
      <c r="R40" s="45" t="b">
        <f>IFERROR(__xludf.DUMMYFUNCTION("""COMPUTED_VALUE"""),FALSE)</f>
        <v>0</v>
      </c>
      <c r="S40" s="45"/>
      <c r="T40" s="45" t="b">
        <f>IFERROR(__xludf.DUMMYFUNCTION("""COMPUTED_VALUE"""),TRUE)</f>
        <v>1</v>
      </c>
      <c r="U40" s="45" t="b">
        <f>IFERROR(__xludf.DUMMYFUNCTION("""COMPUTED_VALUE"""),TRUE)</f>
        <v>1</v>
      </c>
      <c r="V40" s="45" t="b">
        <f>IFERROR(__xludf.DUMMYFUNCTION("""COMPUTED_VALUE"""),TRUE)</f>
        <v>1</v>
      </c>
      <c r="W40" s="45" t="b">
        <f>IFERROR(__xludf.DUMMYFUNCTION("""COMPUTED_VALUE"""),TRUE)</f>
        <v>1</v>
      </c>
      <c r="X40" s="45" t="b">
        <f>IFERROR(__xludf.DUMMYFUNCTION("""COMPUTED_VALUE"""),TRUE)</f>
        <v>1</v>
      </c>
      <c r="Y40" s="45" t="b">
        <f>IFERROR(__xludf.DUMMYFUNCTION("""COMPUTED_VALUE"""),FALSE)</f>
        <v>0</v>
      </c>
      <c r="Z40" s="45" t="b">
        <f>IFERROR(__xludf.DUMMYFUNCTION("""COMPUTED_VALUE"""),FALSE)</f>
        <v>0</v>
      </c>
      <c r="AA40" s="45" t="b">
        <f>IFERROR(__xludf.DUMMYFUNCTION("""COMPUTED_VALUE"""),FALSE)</f>
        <v>0</v>
      </c>
      <c r="AB40" s="45" t="b">
        <f>IFERROR(__xludf.DUMMYFUNCTION("""COMPUTED_VALUE"""),FALSE)</f>
        <v>0</v>
      </c>
      <c r="AC40" s="45" t="b">
        <f>IFERROR(__xludf.DUMMYFUNCTION("""COMPUTED_VALUE"""),TRUE)</f>
        <v>1</v>
      </c>
      <c r="AD40" s="45" t="b">
        <f>IFERROR(__xludf.DUMMYFUNCTION("""COMPUTED_VALUE"""),TRUE)</f>
        <v>1</v>
      </c>
      <c r="AE40" s="45" t="b">
        <f>IFERROR(__xludf.DUMMYFUNCTION("""COMPUTED_VALUE"""),TRUE)</f>
        <v>1</v>
      </c>
    </row>
    <row r="41">
      <c r="A41" s="6" t="b">
        <v>0</v>
      </c>
      <c r="B41" s="45" t="str">
        <f>IFERROR(__xludf.DUMMYFUNCTION("""COMPUTED_VALUE"""),"Rainbowfish")</f>
        <v>Rainbowfish</v>
      </c>
      <c r="C41" s="45">
        <f>IFERROR(__xludf.DUMMYFUNCTION("""COMPUTED_VALUE"""),800.0)</f>
        <v>800</v>
      </c>
      <c r="D41" s="45" t="str">
        <f>IFERROR(__xludf.DUMMYFUNCTION("""COMPUTED_VALUE"""),"9 a.m. - 4 p.m.")</f>
        <v>9 a.m. - 4 p.m.</v>
      </c>
      <c r="E41" s="45" t="str">
        <f>IFERROR(__xludf.DUMMYFUNCTION("""COMPUTED_VALUE"""),"River")</f>
        <v>River</v>
      </c>
      <c r="F41" s="45" t="str">
        <f>IFERROR(__xludf.DUMMYFUNCTION("""COMPUTED_VALUE"""),"Small")</f>
        <v>Small</v>
      </c>
      <c r="G41" s="45" t="b">
        <f>IFERROR(__xludf.DUMMYFUNCTION("""COMPUTED_VALUE"""),FALSE)</f>
        <v>0</v>
      </c>
      <c r="H41" s="45" t="b">
        <f>IFERROR(__xludf.DUMMYFUNCTION("""COMPUTED_VALUE"""),FALSE)</f>
        <v>0</v>
      </c>
      <c r="I41" s="45" t="b">
        <f>IFERROR(__xludf.DUMMYFUNCTION("""COMPUTED_VALUE"""),FALSE)</f>
        <v>0</v>
      </c>
      <c r="J41" s="45" t="b">
        <f>IFERROR(__xludf.DUMMYFUNCTION("""COMPUTED_VALUE"""),FALSE)</f>
        <v>0</v>
      </c>
      <c r="K41" s="45" t="b">
        <f>IFERROR(__xludf.DUMMYFUNCTION("""COMPUTED_VALUE"""),TRUE)</f>
        <v>1</v>
      </c>
      <c r="L41" s="45" t="b">
        <f>IFERROR(__xludf.DUMMYFUNCTION("""COMPUTED_VALUE"""),TRUE)</f>
        <v>1</v>
      </c>
      <c r="M41" s="45" t="b">
        <f>IFERROR(__xludf.DUMMYFUNCTION("""COMPUTED_VALUE"""),TRUE)</f>
        <v>1</v>
      </c>
      <c r="N41" s="45" t="b">
        <f>IFERROR(__xludf.DUMMYFUNCTION("""COMPUTED_VALUE"""),TRUE)</f>
        <v>1</v>
      </c>
      <c r="O41" s="45" t="b">
        <f>IFERROR(__xludf.DUMMYFUNCTION("""COMPUTED_VALUE"""),TRUE)</f>
        <v>1</v>
      </c>
      <c r="P41" s="45" t="b">
        <f>IFERROR(__xludf.DUMMYFUNCTION("""COMPUTED_VALUE"""),TRUE)</f>
        <v>1</v>
      </c>
      <c r="Q41" s="45" t="b">
        <f>IFERROR(__xludf.DUMMYFUNCTION("""COMPUTED_VALUE"""),FALSE)</f>
        <v>0</v>
      </c>
      <c r="R41" s="45" t="b">
        <f>IFERROR(__xludf.DUMMYFUNCTION("""COMPUTED_VALUE"""),FALSE)</f>
        <v>0</v>
      </c>
      <c r="S41" s="45"/>
      <c r="T41" s="45" t="b">
        <f>IFERROR(__xludf.DUMMYFUNCTION("""COMPUTED_VALUE"""),TRUE)</f>
        <v>1</v>
      </c>
      <c r="U41" s="45" t="b">
        <f>IFERROR(__xludf.DUMMYFUNCTION("""COMPUTED_VALUE"""),TRUE)</f>
        <v>1</v>
      </c>
      <c r="V41" s="45" t="b">
        <f>IFERROR(__xludf.DUMMYFUNCTION("""COMPUTED_VALUE"""),TRUE)</f>
        <v>1</v>
      </c>
      <c r="W41" s="45" t="b">
        <f>IFERROR(__xludf.DUMMYFUNCTION("""COMPUTED_VALUE"""),TRUE)</f>
        <v>1</v>
      </c>
      <c r="X41" s="45" t="b">
        <f>IFERROR(__xludf.DUMMYFUNCTION("""COMPUTED_VALUE"""),FALSE)</f>
        <v>0</v>
      </c>
      <c r="Y41" s="45" t="b">
        <f>IFERROR(__xludf.DUMMYFUNCTION("""COMPUTED_VALUE"""),FALSE)</f>
        <v>0</v>
      </c>
      <c r="Z41" s="45" t="b">
        <f>IFERROR(__xludf.DUMMYFUNCTION("""COMPUTED_VALUE"""),FALSE)</f>
        <v>0</v>
      </c>
      <c r="AA41" s="45" t="b">
        <f>IFERROR(__xludf.DUMMYFUNCTION("""COMPUTED_VALUE"""),FALSE)</f>
        <v>0</v>
      </c>
      <c r="AB41" s="45" t="b">
        <f>IFERROR(__xludf.DUMMYFUNCTION("""COMPUTED_VALUE"""),FALSE)</f>
        <v>0</v>
      </c>
      <c r="AC41" s="45" t="b">
        <f>IFERROR(__xludf.DUMMYFUNCTION("""COMPUTED_VALUE"""),FALSE)</f>
        <v>0</v>
      </c>
      <c r="AD41" s="45" t="b">
        <f>IFERROR(__xludf.DUMMYFUNCTION("""COMPUTED_VALUE"""),TRUE)</f>
        <v>1</v>
      </c>
      <c r="AE41" s="45" t="b">
        <f>IFERROR(__xludf.DUMMYFUNCTION("""COMPUTED_VALUE"""),TRUE)</f>
        <v>1</v>
      </c>
    </row>
    <row r="42">
      <c r="A42" s="6" t="b">
        <v>0</v>
      </c>
      <c r="B42" s="45" t="str">
        <f>IFERROR(__xludf.DUMMYFUNCTION("""COMPUTED_VALUE"""),"Piranha")</f>
        <v>Piranha</v>
      </c>
      <c r="C42" s="45">
        <f>IFERROR(__xludf.DUMMYFUNCTION("""COMPUTED_VALUE"""),2500.0)</f>
        <v>2500</v>
      </c>
      <c r="D42" s="45" t="str">
        <f>IFERROR(__xludf.DUMMYFUNCTION("""COMPUTED_VALUE"""),"9 a.m. - 4 p.m., 9 p.m. - 4 a.m.")</f>
        <v>9 a.m. - 4 p.m., 9 p.m. - 4 a.m.</v>
      </c>
      <c r="E42" s="45" t="str">
        <f>IFERROR(__xludf.DUMMYFUNCTION("""COMPUTED_VALUE"""),"River")</f>
        <v>River</v>
      </c>
      <c r="F42" s="45" t="str">
        <f>IFERROR(__xludf.DUMMYFUNCTION("""COMPUTED_VALUE"""),"Small")</f>
        <v>Small</v>
      </c>
      <c r="G42" s="45" t="b">
        <f>IFERROR(__xludf.DUMMYFUNCTION("""COMPUTED_VALUE"""),FALSE)</f>
        <v>0</v>
      </c>
      <c r="H42" s="45" t="b">
        <f>IFERROR(__xludf.DUMMYFUNCTION("""COMPUTED_VALUE"""),FALSE)</f>
        <v>0</v>
      </c>
      <c r="I42" s="45" t="b">
        <f>IFERROR(__xludf.DUMMYFUNCTION("""COMPUTED_VALUE"""),FALSE)</f>
        <v>0</v>
      </c>
      <c r="J42" s="45" t="b">
        <f>IFERROR(__xludf.DUMMYFUNCTION("""COMPUTED_VALUE"""),FALSE)</f>
        <v>0</v>
      </c>
      <c r="K42" s="45" t="b">
        <f>IFERROR(__xludf.DUMMYFUNCTION("""COMPUTED_VALUE"""),FALSE)</f>
        <v>0</v>
      </c>
      <c r="L42" s="45" t="b">
        <f>IFERROR(__xludf.DUMMYFUNCTION("""COMPUTED_VALUE"""),TRUE)</f>
        <v>1</v>
      </c>
      <c r="M42" s="45" t="b">
        <f>IFERROR(__xludf.DUMMYFUNCTION("""COMPUTED_VALUE"""),TRUE)</f>
        <v>1</v>
      </c>
      <c r="N42" s="45" t="b">
        <f>IFERROR(__xludf.DUMMYFUNCTION("""COMPUTED_VALUE"""),TRUE)</f>
        <v>1</v>
      </c>
      <c r="O42" s="45" t="b">
        <f>IFERROR(__xludf.DUMMYFUNCTION("""COMPUTED_VALUE"""),TRUE)</f>
        <v>1</v>
      </c>
      <c r="P42" s="45" t="b">
        <f>IFERROR(__xludf.DUMMYFUNCTION("""COMPUTED_VALUE"""),FALSE)</f>
        <v>0</v>
      </c>
      <c r="Q42" s="45" t="b">
        <f>IFERROR(__xludf.DUMMYFUNCTION("""COMPUTED_VALUE"""),FALSE)</f>
        <v>0</v>
      </c>
      <c r="R42" s="45" t="b">
        <f>IFERROR(__xludf.DUMMYFUNCTION("""COMPUTED_VALUE"""),FALSE)</f>
        <v>0</v>
      </c>
      <c r="S42" s="45"/>
      <c r="T42" s="45" t="b">
        <f>IFERROR(__xludf.DUMMYFUNCTION("""COMPUTED_VALUE"""),TRUE)</f>
        <v>1</v>
      </c>
      <c r="U42" s="45" t="b">
        <f>IFERROR(__xludf.DUMMYFUNCTION("""COMPUTED_VALUE"""),TRUE)</f>
        <v>1</v>
      </c>
      <c r="V42" s="45" t="b">
        <f>IFERROR(__xludf.DUMMYFUNCTION("""COMPUTED_VALUE"""),TRUE)</f>
        <v>1</v>
      </c>
      <c r="W42" s="45" t="b">
        <f>IFERROR(__xludf.DUMMYFUNCTION("""COMPUTED_VALUE"""),FALSE)</f>
        <v>0</v>
      </c>
      <c r="X42" s="45" t="b">
        <f>IFERROR(__xludf.DUMMYFUNCTION("""COMPUTED_VALUE"""),FALSE)</f>
        <v>0</v>
      </c>
      <c r="Y42" s="45" t="b">
        <f>IFERROR(__xludf.DUMMYFUNCTION("""COMPUTED_VALUE"""),FALSE)</f>
        <v>0</v>
      </c>
      <c r="Z42" s="45" t="b">
        <f>IFERROR(__xludf.DUMMYFUNCTION("""COMPUTED_VALUE"""),FALSE)</f>
        <v>0</v>
      </c>
      <c r="AA42" s="45" t="b">
        <f>IFERROR(__xludf.DUMMYFUNCTION("""COMPUTED_VALUE"""),FALSE)</f>
        <v>0</v>
      </c>
      <c r="AB42" s="45" t="b">
        <f>IFERROR(__xludf.DUMMYFUNCTION("""COMPUTED_VALUE"""),FALSE)</f>
        <v>0</v>
      </c>
      <c r="AC42" s="45" t="b">
        <f>IFERROR(__xludf.DUMMYFUNCTION("""COMPUTED_VALUE"""),FALSE)</f>
        <v>0</v>
      </c>
      <c r="AD42" s="45" t="b">
        <f>IFERROR(__xludf.DUMMYFUNCTION("""COMPUTED_VALUE"""),FALSE)</f>
        <v>0</v>
      </c>
      <c r="AE42" s="45" t="b">
        <f>IFERROR(__xludf.DUMMYFUNCTION("""COMPUTED_VALUE"""),TRUE)</f>
        <v>1</v>
      </c>
    </row>
    <row r="43">
      <c r="A43" s="6" t="b">
        <v>0</v>
      </c>
      <c r="B43" s="45" t="str">
        <f>IFERROR(__xludf.DUMMYFUNCTION("""COMPUTED_VALUE"""),"Arowana")</f>
        <v>Arowana</v>
      </c>
      <c r="C43" s="45">
        <f>IFERROR(__xludf.DUMMYFUNCTION("""COMPUTED_VALUE"""),10000.0)</f>
        <v>10000</v>
      </c>
      <c r="D43" s="45" t="str">
        <f>IFERROR(__xludf.DUMMYFUNCTION("""COMPUTED_VALUE"""),"4 p.m. - 9 a.m.")</f>
        <v>4 p.m. - 9 a.m.</v>
      </c>
      <c r="E43" s="45" t="str">
        <f>IFERROR(__xludf.DUMMYFUNCTION("""COMPUTED_VALUE"""),"River")</f>
        <v>River</v>
      </c>
      <c r="F43" s="45" t="str">
        <f>IFERROR(__xludf.DUMMYFUNCTION("""COMPUTED_VALUE"""),"Large")</f>
        <v>Large</v>
      </c>
      <c r="G43" s="45" t="b">
        <f>IFERROR(__xludf.DUMMYFUNCTION("""COMPUTED_VALUE"""),FALSE)</f>
        <v>0</v>
      </c>
      <c r="H43" s="45" t="b">
        <f>IFERROR(__xludf.DUMMYFUNCTION("""COMPUTED_VALUE"""),FALSE)</f>
        <v>0</v>
      </c>
      <c r="I43" s="45" t="b">
        <f>IFERROR(__xludf.DUMMYFUNCTION("""COMPUTED_VALUE"""),FALSE)</f>
        <v>0</v>
      </c>
      <c r="J43" s="45" t="b">
        <f>IFERROR(__xludf.DUMMYFUNCTION("""COMPUTED_VALUE"""),FALSE)</f>
        <v>0</v>
      </c>
      <c r="K43" s="45" t="b">
        <f>IFERROR(__xludf.DUMMYFUNCTION("""COMPUTED_VALUE"""),FALSE)</f>
        <v>0</v>
      </c>
      <c r="L43" s="45" t="b">
        <f>IFERROR(__xludf.DUMMYFUNCTION("""COMPUTED_VALUE"""),TRUE)</f>
        <v>1</v>
      </c>
      <c r="M43" s="45" t="b">
        <f>IFERROR(__xludf.DUMMYFUNCTION("""COMPUTED_VALUE"""),TRUE)</f>
        <v>1</v>
      </c>
      <c r="N43" s="45" t="b">
        <f>IFERROR(__xludf.DUMMYFUNCTION("""COMPUTED_VALUE"""),TRUE)</f>
        <v>1</v>
      </c>
      <c r="O43" s="45" t="b">
        <f>IFERROR(__xludf.DUMMYFUNCTION("""COMPUTED_VALUE"""),TRUE)</f>
        <v>1</v>
      </c>
      <c r="P43" s="45" t="b">
        <f>IFERROR(__xludf.DUMMYFUNCTION("""COMPUTED_VALUE"""),FALSE)</f>
        <v>0</v>
      </c>
      <c r="Q43" s="45" t="b">
        <f>IFERROR(__xludf.DUMMYFUNCTION("""COMPUTED_VALUE"""),FALSE)</f>
        <v>0</v>
      </c>
      <c r="R43" s="45" t="b">
        <f>IFERROR(__xludf.DUMMYFUNCTION("""COMPUTED_VALUE"""),FALSE)</f>
        <v>0</v>
      </c>
      <c r="S43" s="45"/>
      <c r="T43" s="45" t="b">
        <f>IFERROR(__xludf.DUMMYFUNCTION("""COMPUTED_VALUE"""),TRUE)</f>
        <v>1</v>
      </c>
      <c r="U43" s="45" t="b">
        <f>IFERROR(__xludf.DUMMYFUNCTION("""COMPUTED_VALUE"""),TRUE)</f>
        <v>1</v>
      </c>
      <c r="V43" s="45" t="b">
        <f>IFERROR(__xludf.DUMMYFUNCTION("""COMPUTED_VALUE"""),TRUE)</f>
        <v>1</v>
      </c>
      <c r="W43" s="45" t="b">
        <f>IFERROR(__xludf.DUMMYFUNCTION("""COMPUTED_VALUE"""),FALSE)</f>
        <v>0</v>
      </c>
      <c r="X43" s="45" t="b">
        <f>IFERROR(__xludf.DUMMYFUNCTION("""COMPUTED_VALUE"""),FALSE)</f>
        <v>0</v>
      </c>
      <c r="Y43" s="45" t="b">
        <f>IFERROR(__xludf.DUMMYFUNCTION("""COMPUTED_VALUE"""),FALSE)</f>
        <v>0</v>
      </c>
      <c r="Z43" s="45" t="b">
        <f>IFERROR(__xludf.DUMMYFUNCTION("""COMPUTED_VALUE"""),FALSE)</f>
        <v>0</v>
      </c>
      <c r="AA43" s="45" t="b">
        <f>IFERROR(__xludf.DUMMYFUNCTION("""COMPUTED_VALUE"""),FALSE)</f>
        <v>0</v>
      </c>
      <c r="AB43" s="45" t="b">
        <f>IFERROR(__xludf.DUMMYFUNCTION("""COMPUTED_VALUE"""),FALSE)</f>
        <v>0</v>
      </c>
      <c r="AC43" s="45" t="b">
        <f>IFERROR(__xludf.DUMMYFUNCTION("""COMPUTED_VALUE"""),FALSE)</f>
        <v>0</v>
      </c>
      <c r="AD43" s="45" t="b">
        <f>IFERROR(__xludf.DUMMYFUNCTION("""COMPUTED_VALUE"""),FALSE)</f>
        <v>0</v>
      </c>
      <c r="AE43" s="45" t="b">
        <f>IFERROR(__xludf.DUMMYFUNCTION("""COMPUTED_VALUE"""),TRUE)</f>
        <v>1</v>
      </c>
    </row>
    <row r="44">
      <c r="A44" s="6" t="b">
        <v>0</v>
      </c>
      <c r="B44" s="45" t="str">
        <f>IFERROR(__xludf.DUMMYFUNCTION("""COMPUTED_VALUE"""),"Dorado")</f>
        <v>Dorado</v>
      </c>
      <c r="C44" s="45">
        <f>IFERROR(__xludf.DUMMYFUNCTION("""COMPUTED_VALUE"""),15000.0)</f>
        <v>15000</v>
      </c>
      <c r="D44" s="45" t="str">
        <f>IFERROR(__xludf.DUMMYFUNCTION("""COMPUTED_VALUE"""),"4 a.m - 9 p.m.")</f>
        <v>4 a.m - 9 p.m.</v>
      </c>
      <c r="E44" s="45" t="str">
        <f>IFERROR(__xludf.DUMMYFUNCTION("""COMPUTED_VALUE"""),"River")</f>
        <v>River</v>
      </c>
      <c r="F44" s="45" t="str">
        <f>IFERROR(__xludf.DUMMYFUNCTION("""COMPUTED_VALUE"""),"X Large")</f>
        <v>X Large</v>
      </c>
      <c r="G44" s="45" t="b">
        <f>IFERROR(__xludf.DUMMYFUNCTION("""COMPUTED_VALUE"""),FALSE)</f>
        <v>0</v>
      </c>
      <c r="H44" s="45" t="b">
        <f>IFERROR(__xludf.DUMMYFUNCTION("""COMPUTED_VALUE"""),FALSE)</f>
        <v>0</v>
      </c>
      <c r="I44" s="45" t="b">
        <f>IFERROR(__xludf.DUMMYFUNCTION("""COMPUTED_VALUE"""),FALSE)</f>
        <v>0</v>
      </c>
      <c r="J44" s="45" t="b">
        <f>IFERROR(__xludf.DUMMYFUNCTION("""COMPUTED_VALUE"""),FALSE)</f>
        <v>0</v>
      </c>
      <c r="K44" s="45" t="b">
        <f>IFERROR(__xludf.DUMMYFUNCTION("""COMPUTED_VALUE"""),FALSE)</f>
        <v>0</v>
      </c>
      <c r="L44" s="45" t="b">
        <f>IFERROR(__xludf.DUMMYFUNCTION("""COMPUTED_VALUE"""),TRUE)</f>
        <v>1</v>
      </c>
      <c r="M44" s="45" t="b">
        <f>IFERROR(__xludf.DUMMYFUNCTION("""COMPUTED_VALUE"""),TRUE)</f>
        <v>1</v>
      </c>
      <c r="N44" s="45" t="b">
        <f>IFERROR(__xludf.DUMMYFUNCTION("""COMPUTED_VALUE"""),TRUE)</f>
        <v>1</v>
      </c>
      <c r="O44" s="45" t="b">
        <f>IFERROR(__xludf.DUMMYFUNCTION("""COMPUTED_VALUE"""),TRUE)</f>
        <v>1</v>
      </c>
      <c r="P44" s="45" t="b">
        <f>IFERROR(__xludf.DUMMYFUNCTION("""COMPUTED_VALUE"""),FALSE)</f>
        <v>0</v>
      </c>
      <c r="Q44" s="45" t="b">
        <f>IFERROR(__xludf.DUMMYFUNCTION("""COMPUTED_VALUE"""),FALSE)</f>
        <v>0</v>
      </c>
      <c r="R44" s="45" t="b">
        <f>IFERROR(__xludf.DUMMYFUNCTION("""COMPUTED_VALUE"""),FALSE)</f>
        <v>0</v>
      </c>
      <c r="S44" s="45"/>
      <c r="T44" s="45" t="b">
        <f>IFERROR(__xludf.DUMMYFUNCTION("""COMPUTED_VALUE"""),TRUE)</f>
        <v>1</v>
      </c>
      <c r="U44" s="45" t="b">
        <f>IFERROR(__xludf.DUMMYFUNCTION("""COMPUTED_VALUE"""),TRUE)</f>
        <v>1</v>
      </c>
      <c r="V44" s="45" t="b">
        <f>IFERROR(__xludf.DUMMYFUNCTION("""COMPUTED_VALUE"""),TRUE)</f>
        <v>1</v>
      </c>
      <c r="W44" s="45" t="b">
        <f>IFERROR(__xludf.DUMMYFUNCTION("""COMPUTED_VALUE"""),FALSE)</f>
        <v>0</v>
      </c>
      <c r="X44" s="45" t="b">
        <f>IFERROR(__xludf.DUMMYFUNCTION("""COMPUTED_VALUE"""),FALSE)</f>
        <v>0</v>
      </c>
      <c r="Y44" s="45" t="b">
        <f>IFERROR(__xludf.DUMMYFUNCTION("""COMPUTED_VALUE"""),FALSE)</f>
        <v>0</v>
      </c>
      <c r="Z44" s="45" t="b">
        <f>IFERROR(__xludf.DUMMYFUNCTION("""COMPUTED_VALUE"""),FALSE)</f>
        <v>0</v>
      </c>
      <c r="AA44" s="45" t="b">
        <f>IFERROR(__xludf.DUMMYFUNCTION("""COMPUTED_VALUE"""),FALSE)</f>
        <v>0</v>
      </c>
      <c r="AB44" s="45" t="b">
        <f>IFERROR(__xludf.DUMMYFUNCTION("""COMPUTED_VALUE"""),FALSE)</f>
        <v>0</v>
      </c>
      <c r="AC44" s="45" t="b">
        <f>IFERROR(__xludf.DUMMYFUNCTION("""COMPUTED_VALUE"""),FALSE)</f>
        <v>0</v>
      </c>
      <c r="AD44" s="45" t="b">
        <f>IFERROR(__xludf.DUMMYFUNCTION("""COMPUTED_VALUE"""),FALSE)</f>
        <v>0</v>
      </c>
      <c r="AE44" s="45" t="b">
        <f>IFERROR(__xludf.DUMMYFUNCTION("""COMPUTED_VALUE"""),TRUE)</f>
        <v>1</v>
      </c>
    </row>
    <row r="45">
      <c r="A45" s="6" t="b">
        <v>0</v>
      </c>
      <c r="B45" s="45" t="str">
        <f>IFERROR(__xludf.DUMMYFUNCTION("""COMPUTED_VALUE"""),"Gar")</f>
        <v>Gar</v>
      </c>
      <c r="C45" s="45">
        <f>IFERROR(__xludf.DUMMYFUNCTION("""COMPUTED_VALUE"""),6000.0)</f>
        <v>6000</v>
      </c>
      <c r="D45" s="45" t="str">
        <f>IFERROR(__xludf.DUMMYFUNCTION("""COMPUTED_VALUE"""),"4 p.m. - 9 a.m.")</f>
        <v>4 p.m. - 9 a.m.</v>
      </c>
      <c r="E45" s="45" t="str">
        <f>IFERROR(__xludf.DUMMYFUNCTION("""COMPUTED_VALUE"""),"Pond")</f>
        <v>Pond</v>
      </c>
      <c r="F45" s="45" t="str">
        <f>IFERROR(__xludf.DUMMYFUNCTION("""COMPUTED_VALUE"""),"Largest")</f>
        <v>Largest</v>
      </c>
      <c r="G45" s="45" t="b">
        <f>IFERROR(__xludf.DUMMYFUNCTION("""COMPUTED_VALUE"""),FALSE)</f>
        <v>0</v>
      </c>
      <c r="H45" s="45" t="b">
        <f>IFERROR(__xludf.DUMMYFUNCTION("""COMPUTED_VALUE"""),FALSE)</f>
        <v>0</v>
      </c>
      <c r="I45" s="45" t="b">
        <f>IFERROR(__xludf.DUMMYFUNCTION("""COMPUTED_VALUE"""),FALSE)</f>
        <v>0</v>
      </c>
      <c r="J45" s="45" t="b">
        <f>IFERROR(__xludf.DUMMYFUNCTION("""COMPUTED_VALUE"""),FALSE)</f>
        <v>0</v>
      </c>
      <c r="K45" s="45" t="b">
        <f>IFERROR(__xludf.DUMMYFUNCTION("""COMPUTED_VALUE"""),FALSE)</f>
        <v>0</v>
      </c>
      <c r="L45" s="45" t="b">
        <f>IFERROR(__xludf.DUMMYFUNCTION("""COMPUTED_VALUE"""),TRUE)</f>
        <v>1</v>
      </c>
      <c r="M45" s="45" t="b">
        <f>IFERROR(__xludf.DUMMYFUNCTION("""COMPUTED_VALUE"""),TRUE)</f>
        <v>1</v>
      </c>
      <c r="N45" s="45" t="b">
        <f>IFERROR(__xludf.DUMMYFUNCTION("""COMPUTED_VALUE"""),TRUE)</f>
        <v>1</v>
      </c>
      <c r="O45" s="45" t="b">
        <f>IFERROR(__xludf.DUMMYFUNCTION("""COMPUTED_VALUE"""),TRUE)</f>
        <v>1</v>
      </c>
      <c r="P45" s="45" t="b">
        <f>IFERROR(__xludf.DUMMYFUNCTION("""COMPUTED_VALUE"""),FALSE)</f>
        <v>0</v>
      </c>
      <c r="Q45" s="45" t="b">
        <f>IFERROR(__xludf.DUMMYFUNCTION("""COMPUTED_VALUE"""),FALSE)</f>
        <v>0</v>
      </c>
      <c r="R45" s="45" t="b">
        <f>IFERROR(__xludf.DUMMYFUNCTION("""COMPUTED_VALUE"""),FALSE)</f>
        <v>0</v>
      </c>
      <c r="S45" s="45"/>
      <c r="T45" s="45" t="b">
        <f>IFERROR(__xludf.DUMMYFUNCTION("""COMPUTED_VALUE"""),TRUE)</f>
        <v>1</v>
      </c>
      <c r="U45" s="45" t="b">
        <f>IFERROR(__xludf.DUMMYFUNCTION("""COMPUTED_VALUE"""),TRUE)</f>
        <v>1</v>
      </c>
      <c r="V45" s="45" t="b">
        <f>IFERROR(__xludf.DUMMYFUNCTION("""COMPUTED_VALUE"""),TRUE)</f>
        <v>1</v>
      </c>
      <c r="W45" s="45" t="b">
        <f>IFERROR(__xludf.DUMMYFUNCTION("""COMPUTED_VALUE"""),FALSE)</f>
        <v>0</v>
      </c>
      <c r="X45" s="45" t="b">
        <f>IFERROR(__xludf.DUMMYFUNCTION("""COMPUTED_VALUE"""),FALSE)</f>
        <v>0</v>
      </c>
      <c r="Y45" s="45" t="b">
        <f>IFERROR(__xludf.DUMMYFUNCTION("""COMPUTED_VALUE"""),FALSE)</f>
        <v>0</v>
      </c>
      <c r="Z45" s="45" t="b">
        <f>IFERROR(__xludf.DUMMYFUNCTION("""COMPUTED_VALUE"""),FALSE)</f>
        <v>0</v>
      </c>
      <c r="AA45" s="45" t="b">
        <f>IFERROR(__xludf.DUMMYFUNCTION("""COMPUTED_VALUE"""),FALSE)</f>
        <v>0</v>
      </c>
      <c r="AB45" s="45" t="b">
        <f>IFERROR(__xludf.DUMMYFUNCTION("""COMPUTED_VALUE"""),FALSE)</f>
        <v>0</v>
      </c>
      <c r="AC45" s="45" t="b">
        <f>IFERROR(__xludf.DUMMYFUNCTION("""COMPUTED_VALUE"""),FALSE)</f>
        <v>0</v>
      </c>
      <c r="AD45" s="45" t="b">
        <f>IFERROR(__xludf.DUMMYFUNCTION("""COMPUTED_VALUE"""),FALSE)</f>
        <v>0</v>
      </c>
      <c r="AE45" s="45" t="b">
        <f>IFERROR(__xludf.DUMMYFUNCTION("""COMPUTED_VALUE"""),TRUE)</f>
        <v>1</v>
      </c>
    </row>
    <row r="46">
      <c r="A46" s="6" t="b">
        <v>0</v>
      </c>
      <c r="B46" s="45" t="str">
        <f>IFERROR(__xludf.DUMMYFUNCTION("""COMPUTED_VALUE"""),"Arapaima")</f>
        <v>Arapaima</v>
      </c>
      <c r="C46" s="45">
        <f>IFERROR(__xludf.DUMMYFUNCTION("""COMPUTED_VALUE"""),10000.0)</f>
        <v>10000</v>
      </c>
      <c r="D46" s="45" t="str">
        <f>IFERROR(__xludf.DUMMYFUNCTION("""COMPUTED_VALUE"""),"4 p.m. - 9 a.m.")</f>
        <v>4 p.m. - 9 a.m.</v>
      </c>
      <c r="E46" s="45" t="str">
        <f>IFERROR(__xludf.DUMMYFUNCTION("""COMPUTED_VALUE"""),"River")</f>
        <v>River</v>
      </c>
      <c r="F46" s="45" t="str">
        <f>IFERROR(__xludf.DUMMYFUNCTION("""COMPUTED_VALUE"""),"Largest")</f>
        <v>Largest</v>
      </c>
      <c r="G46" s="45" t="b">
        <f>IFERROR(__xludf.DUMMYFUNCTION("""COMPUTED_VALUE"""),FALSE)</f>
        <v>0</v>
      </c>
      <c r="H46" s="45" t="b">
        <f>IFERROR(__xludf.DUMMYFUNCTION("""COMPUTED_VALUE"""),FALSE)</f>
        <v>0</v>
      </c>
      <c r="I46" s="45" t="b">
        <f>IFERROR(__xludf.DUMMYFUNCTION("""COMPUTED_VALUE"""),FALSE)</f>
        <v>0</v>
      </c>
      <c r="J46" s="45" t="b">
        <f>IFERROR(__xludf.DUMMYFUNCTION("""COMPUTED_VALUE"""),FALSE)</f>
        <v>0</v>
      </c>
      <c r="K46" s="45" t="b">
        <f>IFERROR(__xludf.DUMMYFUNCTION("""COMPUTED_VALUE"""),FALSE)</f>
        <v>0</v>
      </c>
      <c r="L46" s="45" t="b">
        <f>IFERROR(__xludf.DUMMYFUNCTION("""COMPUTED_VALUE"""),TRUE)</f>
        <v>1</v>
      </c>
      <c r="M46" s="45" t="b">
        <f>IFERROR(__xludf.DUMMYFUNCTION("""COMPUTED_VALUE"""),TRUE)</f>
        <v>1</v>
      </c>
      <c r="N46" s="45" t="b">
        <f>IFERROR(__xludf.DUMMYFUNCTION("""COMPUTED_VALUE"""),TRUE)</f>
        <v>1</v>
      </c>
      <c r="O46" s="45" t="b">
        <f>IFERROR(__xludf.DUMMYFUNCTION("""COMPUTED_VALUE"""),TRUE)</f>
        <v>1</v>
      </c>
      <c r="P46" s="45" t="b">
        <f>IFERROR(__xludf.DUMMYFUNCTION("""COMPUTED_VALUE"""),FALSE)</f>
        <v>0</v>
      </c>
      <c r="Q46" s="45" t="b">
        <f>IFERROR(__xludf.DUMMYFUNCTION("""COMPUTED_VALUE"""),FALSE)</f>
        <v>0</v>
      </c>
      <c r="R46" s="45" t="b">
        <f>IFERROR(__xludf.DUMMYFUNCTION("""COMPUTED_VALUE"""),FALSE)</f>
        <v>0</v>
      </c>
      <c r="S46" s="45"/>
      <c r="T46" s="45" t="b">
        <f>IFERROR(__xludf.DUMMYFUNCTION("""COMPUTED_VALUE"""),TRUE)</f>
        <v>1</v>
      </c>
      <c r="U46" s="45" t="b">
        <f>IFERROR(__xludf.DUMMYFUNCTION("""COMPUTED_VALUE"""),TRUE)</f>
        <v>1</v>
      </c>
      <c r="V46" s="45" t="b">
        <f>IFERROR(__xludf.DUMMYFUNCTION("""COMPUTED_VALUE"""),TRUE)</f>
        <v>1</v>
      </c>
      <c r="W46" s="45" t="b">
        <f>IFERROR(__xludf.DUMMYFUNCTION("""COMPUTED_VALUE"""),FALSE)</f>
        <v>0</v>
      </c>
      <c r="X46" s="45" t="b">
        <f>IFERROR(__xludf.DUMMYFUNCTION("""COMPUTED_VALUE"""),FALSE)</f>
        <v>0</v>
      </c>
      <c r="Y46" s="45" t="b">
        <f>IFERROR(__xludf.DUMMYFUNCTION("""COMPUTED_VALUE"""),FALSE)</f>
        <v>0</v>
      </c>
      <c r="Z46" s="45" t="b">
        <f>IFERROR(__xludf.DUMMYFUNCTION("""COMPUTED_VALUE"""),FALSE)</f>
        <v>0</v>
      </c>
      <c r="AA46" s="45" t="b">
        <f>IFERROR(__xludf.DUMMYFUNCTION("""COMPUTED_VALUE"""),FALSE)</f>
        <v>0</v>
      </c>
      <c r="AB46" s="45" t="b">
        <f>IFERROR(__xludf.DUMMYFUNCTION("""COMPUTED_VALUE"""),FALSE)</f>
        <v>0</v>
      </c>
      <c r="AC46" s="45" t="b">
        <f>IFERROR(__xludf.DUMMYFUNCTION("""COMPUTED_VALUE"""),FALSE)</f>
        <v>0</v>
      </c>
      <c r="AD46" s="45" t="b">
        <f>IFERROR(__xludf.DUMMYFUNCTION("""COMPUTED_VALUE"""),FALSE)</f>
        <v>0</v>
      </c>
      <c r="AE46" s="45" t="b">
        <f>IFERROR(__xludf.DUMMYFUNCTION("""COMPUTED_VALUE"""),TRUE)</f>
        <v>1</v>
      </c>
    </row>
    <row r="47">
      <c r="A47" s="6" t="b">
        <v>0</v>
      </c>
      <c r="B47" s="45" t="str">
        <f>IFERROR(__xludf.DUMMYFUNCTION("""COMPUTED_VALUE"""),"Saddled bichir")</f>
        <v>Saddled bichir</v>
      </c>
      <c r="C47" s="45">
        <f>IFERROR(__xludf.DUMMYFUNCTION("""COMPUTED_VALUE"""),4000.0)</f>
        <v>4000</v>
      </c>
      <c r="D47" s="45" t="str">
        <f>IFERROR(__xludf.DUMMYFUNCTION("""COMPUTED_VALUE"""),"9 p.m. - 4 a.m.")</f>
        <v>9 p.m. - 4 a.m.</v>
      </c>
      <c r="E47" s="45" t="str">
        <f>IFERROR(__xludf.DUMMYFUNCTION("""COMPUTED_VALUE"""),"River")</f>
        <v>River</v>
      </c>
      <c r="F47" s="45" t="str">
        <f>IFERROR(__xludf.DUMMYFUNCTION("""COMPUTED_VALUE"""),"Large")</f>
        <v>Large</v>
      </c>
      <c r="G47" s="45" t="b">
        <f>IFERROR(__xludf.DUMMYFUNCTION("""COMPUTED_VALUE"""),FALSE)</f>
        <v>0</v>
      </c>
      <c r="H47" s="45" t="b">
        <f>IFERROR(__xludf.DUMMYFUNCTION("""COMPUTED_VALUE"""),FALSE)</f>
        <v>0</v>
      </c>
      <c r="I47" s="45" t="b">
        <f>IFERROR(__xludf.DUMMYFUNCTION("""COMPUTED_VALUE"""),FALSE)</f>
        <v>0</v>
      </c>
      <c r="J47" s="45" t="b">
        <f>IFERROR(__xludf.DUMMYFUNCTION("""COMPUTED_VALUE"""),FALSE)</f>
        <v>0</v>
      </c>
      <c r="K47" s="45" t="b">
        <f>IFERROR(__xludf.DUMMYFUNCTION("""COMPUTED_VALUE"""),FALSE)</f>
        <v>0</v>
      </c>
      <c r="L47" s="45" t="b">
        <f>IFERROR(__xludf.DUMMYFUNCTION("""COMPUTED_VALUE"""),TRUE)</f>
        <v>1</v>
      </c>
      <c r="M47" s="45" t="b">
        <f>IFERROR(__xludf.DUMMYFUNCTION("""COMPUTED_VALUE"""),TRUE)</f>
        <v>1</v>
      </c>
      <c r="N47" s="45" t="b">
        <f>IFERROR(__xludf.DUMMYFUNCTION("""COMPUTED_VALUE"""),TRUE)</f>
        <v>1</v>
      </c>
      <c r="O47" s="45" t="b">
        <f>IFERROR(__xludf.DUMMYFUNCTION("""COMPUTED_VALUE"""),TRUE)</f>
        <v>1</v>
      </c>
      <c r="P47" s="45" t="b">
        <f>IFERROR(__xludf.DUMMYFUNCTION("""COMPUTED_VALUE"""),FALSE)</f>
        <v>0</v>
      </c>
      <c r="Q47" s="45" t="b">
        <f>IFERROR(__xludf.DUMMYFUNCTION("""COMPUTED_VALUE"""),FALSE)</f>
        <v>0</v>
      </c>
      <c r="R47" s="45" t="b">
        <f>IFERROR(__xludf.DUMMYFUNCTION("""COMPUTED_VALUE"""),FALSE)</f>
        <v>0</v>
      </c>
      <c r="S47" s="45"/>
      <c r="T47" s="45" t="b">
        <f>IFERROR(__xludf.DUMMYFUNCTION("""COMPUTED_VALUE"""),TRUE)</f>
        <v>1</v>
      </c>
      <c r="U47" s="45" t="b">
        <f>IFERROR(__xludf.DUMMYFUNCTION("""COMPUTED_VALUE"""),TRUE)</f>
        <v>1</v>
      </c>
      <c r="V47" s="45" t="b">
        <f>IFERROR(__xludf.DUMMYFUNCTION("""COMPUTED_VALUE"""),TRUE)</f>
        <v>1</v>
      </c>
      <c r="W47" s="45" t="b">
        <f>IFERROR(__xludf.DUMMYFUNCTION("""COMPUTED_VALUE"""),FALSE)</f>
        <v>0</v>
      </c>
      <c r="X47" s="45" t="b">
        <f>IFERROR(__xludf.DUMMYFUNCTION("""COMPUTED_VALUE"""),FALSE)</f>
        <v>0</v>
      </c>
      <c r="Y47" s="45" t="b">
        <f>IFERROR(__xludf.DUMMYFUNCTION("""COMPUTED_VALUE"""),FALSE)</f>
        <v>0</v>
      </c>
      <c r="Z47" s="45" t="b">
        <f>IFERROR(__xludf.DUMMYFUNCTION("""COMPUTED_VALUE"""),FALSE)</f>
        <v>0</v>
      </c>
      <c r="AA47" s="45" t="b">
        <f>IFERROR(__xludf.DUMMYFUNCTION("""COMPUTED_VALUE"""),FALSE)</f>
        <v>0</v>
      </c>
      <c r="AB47" s="45" t="b">
        <f>IFERROR(__xludf.DUMMYFUNCTION("""COMPUTED_VALUE"""),FALSE)</f>
        <v>0</v>
      </c>
      <c r="AC47" s="45" t="b">
        <f>IFERROR(__xludf.DUMMYFUNCTION("""COMPUTED_VALUE"""),FALSE)</f>
        <v>0</v>
      </c>
      <c r="AD47" s="45" t="b">
        <f>IFERROR(__xludf.DUMMYFUNCTION("""COMPUTED_VALUE"""),FALSE)</f>
        <v>0</v>
      </c>
      <c r="AE47" s="45" t="b">
        <f>IFERROR(__xludf.DUMMYFUNCTION("""COMPUTED_VALUE"""),TRUE)</f>
        <v>1</v>
      </c>
    </row>
    <row r="48">
      <c r="A48" s="6" t="b">
        <v>0</v>
      </c>
      <c r="B48" s="45" t="str">
        <f>IFERROR(__xludf.DUMMYFUNCTION("""COMPUTED_VALUE"""),"Sturgeon")</f>
        <v>Sturgeon</v>
      </c>
      <c r="C48" s="45">
        <f>IFERROR(__xludf.DUMMYFUNCTION("""COMPUTED_VALUE"""),10000.0)</f>
        <v>10000</v>
      </c>
      <c r="D48" s="45" t="str">
        <f>IFERROR(__xludf.DUMMYFUNCTION("""COMPUTED_VALUE"""),"All day")</f>
        <v>All day</v>
      </c>
      <c r="E48" s="45" t="str">
        <f>IFERROR(__xludf.DUMMYFUNCTION("""COMPUTED_VALUE"""),"River (mouth)")</f>
        <v>River (mouth)</v>
      </c>
      <c r="F48" s="45" t="str">
        <f>IFERROR(__xludf.DUMMYFUNCTION("""COMPUTED_VALUE"""),"Largest")</f>
        <v>Largest</v>
      </c>
      <c r="G48" s="45" t="b">
        <f>IFERROR(__xludf.DUMMYFUNCTION("""COMPUTED_VALUE"""),TRUE)</f>
        <v>1</v>
      </c>
      <c r="H48" s="45" t="b">
        <f>IFERROR(__xludf.DUMMYFUNCTION("""COMPUTED_VALUE"""),TRUE)</f>
        <v>1</v>
      </c>
      <c r="I48" s="45" t="b">
        <f>IFERROR(__xludf.DUMMYFUNCTION("""COMPUTED_VALUE"""),TRUE)</f>
        <v>1</v>
      </c>
      <c r="J48" s="45" t="b">
        <f>IFERROR(__xludf.DUMMYFUNCTION("""COMPUTED_VALUE"""),FALSE)</f>
        <v>0</v>
      </c>
      <c r="K48" s="45" t="b">
        <f>IFERROR(__xludf.DUMMYFUNCTION("""COMPUTED_VALUE"""),FALSE)</f>
        <v>0</v>
      </c>
      <c r="L48" s="45" t="b">
        <f>IFERROR(__xludf.DUMMYFUNCTION("""COMPUTED_VALUE"""),FALSE)</f>
        <v>0</v>
      </c>
      <c r="M48" s="45" t="b">
        <f>IFERROR(__xludf.DUMMYFUNCTION("""COMPUTED_VALUE"""),FALSE)</f>
        <v>0</v>
      </c>
      <c r="N48" s="45" t="b">
        <f>IFERROR(__xludf.DUMMYFUNCTION("""COMPUTED_VALUE"""),FALSE)</f>
        <v>0</v>
      </c>
      <c r="O48" s="45" t="b">
        <f>IFERROR(__xludf.DUMMYFUNCTION("""COMPUTED_VALUE"""),TRUE)</f>
        <v>1</v>
      </c>
      <c r="P48" s="45" t="b">
        <f>IFERROR(__xludf.DUMMYFUNCTION("""COMPUTED_VALUE"""),TRUE)</f>
        <v>1</v>
      </c>
      <c r="Q48" s="45" t="b">
        <f>IFERROR(__xludf.DUMMYFUNCTION("""COMPUTED_VALUE"""),TRUE)</f>
        <v>1</v>
      </c>
      <c r="R48" s="45" t="b">
        <f>IFERROR(__xludf.DUMMYFUNCTION("""COMPUTED_VALUE"""),TRUE)</f>
        <v>1</v>
      </c>
      <c r="S48" s="45"/>
      <c r="T48" s="45" t="b">
        <f>IFERROR(__xludf.DUMMYFUNCTION("""COMPUTED_VALUE"""),FALSE)</f>
        <v>0</v>
      </c>
      <c r="U48" s="45" t="b">
        <f>IFERROR(__xludf.DUMMYFUNCTION("""COMPUTED_VALUE"""),FALSE)</f>
        <v>0</v>
      </c>
      <c r="V48" s="45" t="b">
        <f>IFERROR(__xludf.DUMMYFUNCTION("""COMPUTED_VALUE"""),TRUE)</f>
        <v>1</v>
      </c>
      <c r="W48" s="45" t="b">
        <f>IFERROR(__xludf.DUMMYFUNCTION("""COMPUTED_VALUE"""),TRUE)</f>
        <v>1</v>
      </c>
      <c r="X48" s="45" t="b">
        <f>IFERROR(__xludf.DUMMYFUNCTION("""COMPUTED_VALUE"""),TRUE)</f>
        <v>1</v>
      </c>
      <c r="Y48" s="45" t="b">
        <f>IFERROR(__xludf.DUMMYFUNCTION("""COMPUTED_VALUE"""),TRUE)</f>
        <v>1</v>
      </c>
      <c r="Z48" s="45" t="b">
        <f>IFERROR(__xludf.DUMMYFUNCTION("""COMPUTED_VALUE"""),TRUE)</f>
        <v>1</v>
      </c>
      <c r="AA48" s="45" t="b">
        <f>IFERROR(__xludf.DUMMYFUNCTION("""COMPUTED_VALUE"""),TRUE)</f>
        <v>1</v>
      </c>
      <c r="AB48" s="45" t="b">
        <f>IFERROR(__xludf.DUMMYFUNCTION("""COMPUTED_VALUE"""),TRUE)</f>
        <v>1</v>
      </c>
      <c r="AC48" s="45" t="b">
        <f>IFERROR(__xludf.DUMMYFUNCTION("""COMPUTED_VALUE"""),FALSE)</f>
        <v>0</v>
      </c>
      <c r="AD48" s="45" t="b">
        <f>IFERROR(__xludf.DUMMYFUNCTION("""COMPUTED_VALUE"""),FALSE)</f>
        <v>0</v>
      </c>
      <c r="AE48" s="45" t="b">
        <f>IFERROR(__xludf.DUMMYFUNCTION("""COMPUTED_VALUE"""),FALSE)</f>
        <v>0</v>
      </c>
    </row>
    <row r="49">
      <c r="A49" s="6" t="b">
        <v>0</v>
      </c>
      <c r="B49" s="45" t="str">
        <f>IFERROR(__xludf.DUMMYFUNCTION("""COMPUTED_VALUE"""),"Sea butterfly")</f>
        <v>Sea butterfly</v>
      </c>
      <c r="C49" s="45">
        <f>IFERROR(__xludf.DUMMYFUNCTION("""COMPUTED_VALUE"""),1000.0)</f>
        <v>1000</v>
      </c>
      <c r="D49" s="45" t="str">
        <f>IFERROR(__xludf.DUMMYFUNCTION("""COMPUTED_VALUE"""),"All day")</f>
        <v>All day</v>
      </c>
      <c r="E49" s="45" t="str">
        <f>IFERROR(__xludf.DUMMYFUNCTION("""COMPUTED_VALUE"""),"Sea")</f>
        <v>Sea</v>
      </c>
      <c r="F49" s="45" t="str">
        <f>IFERROR(__xludf.DUMMYFUNCTION("""COMPUTED_VALUE"""),"Smallest")</f>
        <v>Smallest</v>
      </c>
      <c r="G49" s="45" t="b">
        <f>IFERROR(__xludf.DUMMYFUNCTION("""COMPUTED_VALUE"""),TRUE)</f>
        <v>1</v>
      </c>
      <c r="H49" s="45" t="b">
        <f>IFERROR(__xludf.DUMMYFUNCTION("""COMPUTED_VALUE"""),TRUE)</f>
        <v>1</v>
      </c>
      <c r="I49" s="45" t="b">
        <f>IFERROR(__xludf.DUMMYFUNCTION("""COMPUTED_VALUE"""),TRUE)</f>
        <v>1</v>
      </c>
      <c r="J49" s="45" t="b">
        <f>IFERROR(__xludf.DUMMYFUNCTION("""COMPUTED_VALUE"""),FALSE)</f>
        <v>0</v>
      </c>
      <c r="K49" s="45" t="b">
        <f>IFERROR(__xludf.DUMMYFUNCTION("""COMPUTED_VALUE"""),FALSE)</f>
        <v>0</v>
      </c>
      <c r="L49" s="45" t="b">
        <f>IFERROR(__xludf.DUMMYFUNCTION("""COMPUTED_VALUE"""),FALSE)</f>
        <v>0</v>
      </c>
      <c r="M49" s="45" t="b">
        <f>IFERROR(__xludf.DUMMYFUNCTION("""COMPUTED_VALUE"""),FALSE)</f>
        <v>0</v>
      </c>
      <c r="N49" s="45" t="b">
        <f>IFERROR(__xludf.DUMMYFUNCTION("""COMPUTED_VALUE"""),FALSE)</f>
        <v>0</v>
      </c>
      <c r="O49" s="45" t="b">
        <f>IFERROR(__xludf.DUMMYFUNCTION("""COMPUTED_VALUE"""),FALSE)</f>
        <v>0</v>
      </c>
      <c r="P49" s="45" t="b">
        <f>IFERROR(__xludf.DUMMYFUNCTION("""COMPUTED_VALUE"""),FALSE)</f>
        <v>0</v>
      </c>
      <c r="Q49" s="45" t="b">
        <f>IFERROR(__xludf.DUMMYFUNCTION("""COMPUTED_VALUE"""),FALSE)</f>
        <v>0</v>
      </c>
      <c r="R49" s="45" t="b">
        <f>IFERROR(__xludf.DUMMYFUNCTION("""COMPUTED_VALUE"""),TRUE)</f>
        <v>1</v>
      </c>
      <c r="S49" s="45"/>
      <c r="T49" s="45" t="b">
        <f>IFERROR(__xludf.DUMMYFUNCTION("""COMPUTED_VALUE"""),FALSE)</f>
        <v>0</v>
      </c>
      <c r="U49" s="45" t="b">
        <f>IFERROR(__xludf.DUMMYFUNCTION("""COMPUTED_VALUE"""),FALSE)</f>
        <v>0</v>
      </c>
      <c r="V49" s="45" t="b">
        <f>IFERROR(__xludf.DUMMYFUNCTION("""COMPUTED_VALUE"""),FALSE)</f>
        <v>0</v>
      </c>
      <c r="W49" s="45" t="b">
        <f>IFERROR(__xludf.DUMMYFUNCTION("""COMPUTED_VALUE"""),FALSE)</f>
        <v>0</v>
      </c>
      <c r="X49" s="45" t="b">
        <f>IFERROR(__xludf.DUMMYFUNCTION("""COMPUTED_VALUE"""),FALSE)</f>
        <v>0</v>
      </c>
      <c r="Y49" s="45" t="b">
        <f>IFERROR(__xludf.DUMMYFUNCTION("""COMPUTED_VALUE"""),TRUE)</f>
        <v>1</v>
      </c>
      <c r="Z49" s="45" t="b">
        <f>IFERROR(__xludf.DUMMYFUNCTION("""COMPUTED_VALUE"""),TRUE)</f>
        <v>1</v>
      </c>
      <c r="AA49" s="45" t="b">
        <f>IFERROR(__xludf.DUMMYFUNCTION("""COMPUTED_VALUE"""),TRUE)</f>
        <v>1</v>
      </c>
      <c r="AB49" s="45" t="b">
        <f>IFERROR(__xludf.DUMMYFUNCTION("""COMPUTED_VALUE"""),TRUE)</f>
        <v>1</v>
      </c>
      <c r="AC49" s="45" t="b">
        <f>IFERROR(__xludf.DUMMYFUNCTION("""COMPUTED_VALUE"""),FALSE)</f>
        <v>0</v>
      </c>
      <c r="AD49" s="45" t="b">
        <f>IFERROR(__xludf.DUMMYFUNCTION("""COMPUTED_VALUE"""),FALSE)</f>
        <v>0</v>
      </c>
      <c r="AE49" s="45" t="b">
        <f>IFERROR(__xludf.DUMMYFUNCTION("""COMPUTED_VALUE"""),FALSE)</f>
        <v>0</v>
      </c>
    </row>
    <row r="50">
      <c r="A50" s="6" t="b">
        <v>0</v>
      </c>
      <c r="B50" s="45" t="str">
        <f>IFERROR(__xludf.DUMMYFUNCTION("""COMPUTED_VALUE"""),"Sea horse")</f>
        <v>Sea horse</v>
      </c>
      <c r="C50" s="45">
        <f>IFERROR(__xludf.DUMMYFUNCTION("""COMPUTED_VALUE"""),1100.0)</f>
        <v>1100</v>
      </c>
      <c r="D50" s="45" t="str">
        <f>IFERROR(__xludf.DUMMYFUNCTION("""COMPUTED_VALUE"""),"All day")</f>
        <v>All day</v>
      </c>
      <c r="E50" s="45" t="str">
        <f>IFERROR(__xludf.DUMMYFUNCTION("""COMPUTED_VALUE"""),"Sea")</f>
        <v>Sea</v>
      </c>
      <c r="F50" s="45" t="str">
        <f>IFERROR(__xludf.DUMMYFUNCTION("""COMPUTED_VALUE"""),"Smallest")</f>
        <v>Smallest</v>
      </c>
      <c r="G50" s="45" t="b">
        <f>IFERROR(__xludf.DUMMYFUNCTION("""COMPUTED_VALUE"""),FALSE)</f>
        <v>0</v>
      </c>
      <c r="H50" s="45" t="b">
        <f>IFERROR(__xludf.DUMMYFUNCTION("""COMPUTED_VALUE"""),FALSE)</f>
        <v>0</v>
      </c>
      <c r="I50" s="45" t="b">
        <f>IFERROR(__xludf.DUMMYFUNCTION("""COMPUTED_VALUE"""),FALSE)</f>
        <v>0</v>
      </c>
      <c r="J50" s="45" t="b">
        <f>IFERROR(__xludf.DUMMYFUNCTION("""COMPUTED_VALUE"""),TRUE)</f>
        <v>1</v>
      </c>
      <c r="K50" s="45" t="b">
        <f>IFERROR(__xludf.DUMMYFUNCTION("""COMPUTED_VALUE"""),TRUE)</f>
        <v>1</v>
      </c>
      <c r="L50" s="45" t="b">
        <f>IFERROR(__xludf.DUMMYFUNCTION("""COMPUTED_VALUE"""),TRUE)</f>
        <v>1</v>
      </c>
      <c r="M50" s="45" t="b">
        <f>IFERROR(__xludf.DUMMYFUNCTION("""COMPUTED_VALUE"""),TRUE)</f>
        <v>1</v>
      </c>
      <c r="N50" s="45" t="b">
        <f>IFERROR(__xludf.DUMMYFUNCTION("""COMPUTED_VALUE"""),TRUE)</f>
        <v>1</v>
      </c>
      <c r="O50" s="45" t="b">
        <f>IFERROR(__xludf.DUMMYFUNCTION("""COMPUTED_VALUE"""),TRUE)</f>
        <v>1</v>
      </c>
      <c r="P50" s="45" t="b">
        <f>IFERROR(__xludf.DUMMYFUNCTION("""COMPUTED_VALUE"""),TRUE)</f>
        <v>1</v>
      </c>
      <c r="Q50" s="45" t="b">
        <f>IFERROR(__xludf.DUMMYFUNCTION("""COMPUTED_VALUE"""),TRUE)</f>
        <v>1</v>
      </c>
      <c r="R50" s="45" t="b">
        <f>IFERROR(__xludf.DUMMYFUNCTION("""COMPUTED_VALUE"""),FALSE)</f>
        <v>0</v>
      </c>
      <c r="S50" s="45"/>
      <c r="T50" s="45" t="b">
        <f>IFERROR(__xludf.DUMMYFUNCTION("""COMPUTED_VALUE"""),TRUE)</f>
        <v>1</v>
      </c>
      <c r="U50" s="45" t="b">
        <f>IFERROR(__xludf.DUMMYFUNCTION("""COMPUTED_VALUE"""),TRUE)</f>
        <v>1</v>
      </c>
      <c r="V50" s="45" t="b">
        <f>IFERROR(__xludf.DUMMYFUNCTION("""COMPUTED_VALUE"""),TRUE)</f>
        <v>1</v>
      </c>
      <c r="W50" s="45" t="b">
        <f>IFERROR(__xludf.DUMMYFUNCTION("""COMPUTED_VALUE"""),TRUE)</f>
        <v>1</v>
      </c>
      <c r="X50" s="45" t="b">
        <f>IFERROR(__xludf.DUMMYFUNCTION("""COMPUTED_VALUE"""),TRUE)</f>
        <v>1</v>
      </c>
      <c r="Y50" s="45" t="b">
        <f>IFERROR(__xludf.DUMMYFUNCTION("""COMPUTED_VALUE"""),FALSE)</f>
        <v>0</v>
      </c>
      <c r="Z50" s="45" t="b">
        <f>IFERROR(__xludf.DUMMYFUNCTION("""COMPUTED_VALUE"""),FALSE)</f>
        <v>0</v>
      </c>
      <c r="AA50" s="45" t="b">
        <f>IFERROR(__xludf.DUMMYFUNCTION("""COMPUTED_VALUE"""),FALSE)</f>
        <v>0</v>
      </c>
      <c r="AB50" s="45" t="b">
        <f>IFERROR(__xludf.DUMMYFUNCTION("""COMPUTED_VALUE"""),FALSE)</f>
        <v>0</v>
      </c>
      <c r="AC50" s="45" t="b">
        <f>IFERROR(__xludf.DUMMYFUNCTION("""COMPUTED_VALUE"""),TRUE)</f>
        <v>1</v>
      </c>
      <c r="AD50" s="45" t="b">
        <f>IFERROR(__xludf.DUMMYFUNCTION("""COMPUTED_VALUE"""),TRUE)</f>
        <v>1</v>
      </c>
      <c r="AE50" s="45" t="b">
        <f>IFERROR(__xludf.DUMMYFUNCTION("""COMPUTED_VALUE"""),TRUE)</f>
        <v>1</v>
      </c>
    </row>
    <row r="51">
      <c r="A51" s="6" t="b">
        <v>0</v>
      </c>
      <c r="B51" s="45" t="str">
        <f>IFERROR(__xludf.DUMMYFUNCTION("""COMPUTED_VALUE"""),"Clown fish")</f>
        <v>Clown fish</v>
      </c>
      <c r="C51" s="45">
        <f>IFERROR(__xludf.DUMMYFUNCTION("""COMPUTED_VALUE"""),650.0)</f>
        <v>650</v>
      </c>
      <c r="D51" s="45" t="str">
        <f>IFERROR(__xludf.DUMMYFUNCTION("""COMPUTED_VALUE"""),"All day")</f>
        <v>All day</v>
      </c>
      <c r="E51" s="45" t="str">
        <f>IFERROR(__xludf.DUMMYFUNCTION("""COMPUTED_VALUE"""),"Sea")</f>
        <v>Sea</v>
      </c>
      <c r="F51" s="45" t="str">
        <f>IFERROR(__xludf.DUMMYFUNCTION("""COMPUTED_VALUE"""),"Smallest")</f>
        <v>Smallest</v>
      </c>
      <c r="G51" s="45" t="b">
        <f>IFERROR(__xludf.DUMMYFUNCTION("""COMPUTED_VALUE"""),FALSE)</f>
        <v>0</v>
      </c>
      <c r="H51" s="45" t="b">
        <f>IFERROR(__xludf.DUMMYFUNCTION("""COMPUTED_VALUE"""),FALSE)</f>
        <v>0</v>
      </c>
      <c r="I51" s="45" t="b">
        <f>IFERROR(__xludf.DUMMYFUNCTION("""COMPUTED_VALUE"""),FALSE)</f>
        <v>0</v>
      </c>
      <c r="J51" s="45" t="b">
        <f>IFERROR(__xludf.DUMMYFUNCTION("""COMPUTED_VALUE"""),TRUE)</f>
        <v>1</v>
      </c>
      <c r="K51" s="45" t="b">
        <f>IFERROR(__xludf.DUMMYFUNCTION("""COMPUTED_VALUE"""),TRUE)</f>
        <v>1</v>
      </c>
      <c r="L51" s="45" t="b">
        <f>IFERROR(__xludf.DUMMYFUNCTION("""COMPUTED_VALUE"""),TRUE)</f>
        <v>1</v>
      </c>
      <c r="M51" s="45" t="b">
        <f>IFERROR(__xludf.DUMMYFUNCTION("""COMPUTED_VALUE"""),TRUE)</f>
        <v>1</v>
      </c>
      <c r="N51" s="45" t="b">
        <f>IFERROR(__xludf.DUMMYFUNCTION("""COMPUTED_VALUE"""),TRUE)</f>
        <v>1</v>
      </c>
      <c r="O51" s="45" t="b">
        <f>IFERROR(__xludf.DUMMYFUNCTION("""COMPUTED_VALUE"""),TRUE)</f>
        <v>1</v>
      </c>
      <c r="P51" s="45" t="b">
        <f>IFERROR(__xludf.DUMMYFUNCTION("""COMPUTED_VALUE"""),FALSE)</f>
        <v>0</v>
      </c>
      <c r="Q51" s="45" t="b">
        <f>IFERROR(__xludf.DUMMYFUNCTION("""COMPUTED_VALUE"""),FALSE)</f>
        <v>0</v>
      </c>
      <c r="R51" s="45" t="b">
        <f>IFERROR(__xludf.DUMMYFUNCTION("""COMPUTED_VALUE"""),FALSE)</f>
        <v>0</v>
      </c>
      <c r="S51" s="45"/>
      <c r="T51" s="45" t="b">
        <f>IFERROR(__xludf.DUMMYFUNCTION("""COMPUTED_VALUE"""),TRUE)</f>
        <v>1</v>
      </c>
      <c r="U51" s="45" t="b">
        <f>IFERROR(__xludf.DUMMYFUNCTION("""COMPUTED_VALUE"""),TRUE)</f>
        <v>1</v>
      </c>
      <c r="V51" s="45" t="b">
        <f>IFERROR(__xludf.DUMMYFUNCTION("""COMPUTED_VALUE"""),TRUE)</f>
        <v>1</v>
      </c>
      <c r="W51" s="45" t="b">
        <f>IFERROR(__xludf.DUMMYFUNCTION("""COMPUTED_VALUE"""),FALSE)</f>
        <v>0</v>
      </c>
      <c r="X51" s="45" t="b">
        <f>IFERROR(__xludf.DUMMYFUNCTION("""COMPUTED_VALUE"""),FALSE)</f>
        <v>0</v>
      </c>
      <c r="Y51" s="45" t="b">
        <f>IFERROR(__xludf.DUMMYFUNCTION("""COMPUTED_VALUE"""),FALSE)</f>
        <v>0</v>
      </c>
      <c r="Z51" s="45" t="b">
        <f>IFERROR(__xludf.DUMMYFUNCTION("""COMPUTED_VALUE"""),FALSE)</f>
        <v>0</v>
      </c>
      <c r="AA51" s="45" t="b">
        <f>IFERROR(__xludf.DUMMYFUNCTION("""COMPUTED_VALUE"""),FALSE)</f>
        <v>0</v>
      </c>
      <c r="AB51" s="45" t="b">
        <f>IFERROR(__xludf.DUMMYFUNCTION("""COMPUTED_VALUE"""),FALSE)</f>
        <v>0</v>
      </c>
      <c r="AC51" s="45" t="b">
        <f>IFERROR(__xludf.DUMMYFUNCTION("""COMPUTED_VALUE"""),TRUE)</f>
        <v>1</v>
      </c>
      <c r="AD51" s="45" t="b">
        <f>IFERROR(__xludf.DUMMYFUNCTION("""COMPUTED_VALUE"""),TRUE)</f>
        <v>1</v>
      </c>
      <c r="AE51" s="45" t="b">
        <f>IFERROR(__xludf.DUMMYFUNCTION("""COMPUTED_VALUE"""),TRUE)</f>
        <v>1</v>
      </c>
    </row>
    <row r="52">
      <c r="A52" s="6" t="b">
        <v>0</v>
      </c>
      <c r="B52" s="45" t="str">
        <f>IFERROR(__xludf.DUMMYFUNCTION("""COMPUTED_VALUE"""),"Surgeonfish")</f>
        <v>Surgeonfish</v>
      </c>
      <c r="C52" s="45">
        <f>IFERROR(__xludf.DUMMYFUNCTION("""COMPUTED_VALUE"""),1000.0)</f>
        <v>1000</v>
      </c>
      <c r="D52" s="45" t="str">
        <f>IFERROR(__xludf.DUMMYFUNCTION("""COMPUTED_VALUE"""),"All day")</f>
        <v>All day</v>
      </c>
      <c r="E52" s="45" t="str">
        <f>IFERROR(__xludf.DUMMYFUNCTION("""COMPUTED_VALUE"""),"Sea")</f>
        <v>Sea</v>
      </c>
      <c r="F52" s="45" t="str">
        <f>IFERROR(__xludf.DUMMYFUNCTION("""COMPUTED_VALUE"""),"Small")</f>
        <v>Small</v>
      </c>
      <c r="G52" s="45" t="b">
        <f>IFERROR(__xludf.DUMMYFUNCTION("""COMPUTED_VALUE"""),FALSE)</f>
        <v>0</v>
      </c>
      <c r="H52" s="45" t="b">
        <f>IFERROR(__xludf.DUMMYFUNCTION("""COMPUTED_VALUE"""),FALSE)</f>
        <v>0</v>
      </c>
      <c r="I52" s="45" t="b">
        <f>IFERROR(__xludf.DUMMYFUNCTION("""COMPUTED_VALUE"""),FALSE)</f>
        <v>0</v>
      </c>
      <c r="J52" s="45" t="b">
        <f>IFERROR(__xludf.DUMMYFUNCTION("""COMPUTED_VALUE"""),TRUE)</f>
        <v>1</v>
      </c>
      <c r="K52" s="45" t="b">
        <f>IFERROR(__xludf.DUMMYFUNCTION("""COMPUTED_VALUE"""),TRUE)</f>
        <v>1</v>
      </c>
      <c r="L52" s="45" t="b">
        <f>IFERROR(__xludf.DUMMYFUNCTION("""COMPUTED_VALUE"""),TRUE)</f>
        <v>1</v>
      </c>
      <c r="M52" s="45" t="b">
        <f>IFERROR(__xludf.DUMMYFUNCTION("""COMPUTED_VALUE"""),TRUE)</f>
        <v>1</v>
      </c>
      <c r="N52" s="45" t="b">
        <f>IFERROR(__xludf.DUMMYFUNCTION("""COMPUTED_VALUE"""),TRUE)</f>
        <v>1</v>
      </c>
      <c r="O52" s="45" t="b">
        <f>IFERROR(__xludf.DUMMYFUNCTION("""COMPUTED_VALUE"""),TRUE)</f>
        <v>1</v>
      </c>
      <c r="P52" s="45" t="b">
        <f>IFERROR(__xludf.DUMMYFUNCTION("""COMPUTED_VALUE"""),FALSE)</f>
        <v>0</v>
      </c>
      <c r="Q52" s="45" t="b">
        <f>IFERROR(__xludf.DUMMYFUNCTION("""COMPUTED_VALUE"""),FALSE)</f>
        <v>0</v>
      </c>
      <c r="R52" s="45" t="b">
        <f>IFERROR(__xludf.DUMMYFUNCTION("""COMPUTED_VALUE"""),FALSE)</f>
        <v>0</v>
      </c>
      <c r="S52" s="45"/>
      <c r="T52" s="45" t="b">
        <f>IFERROR(__xludf.DUMMYFUNCTION("""COMPUTED_VALUE"""),TRUE)</f>
        <v>1</v>
      </c>
      <c r="U52" s="45" t="b">
        <f>IFERROR(__xludf.DUMMYFUNCTION("""COMPUTED_VALUE"""),TRUE)</f>
        <v>1</v>
      </c>
      <c r="V52" s="45" t="b">
        <f>IFERROR(__xludf.DUMMYFUNCTION("""COMPUTED_VALUE"""),TRUE)</f>
        <v>1</v>
      </c>
      <c r="W52" s="45" t="b">
        <f>IFERROR(__xludf.DUMMYFUNCTION("""COMPUTED_VALUE"""),FALSE)</f>
        <v>0</v>
      </c>
      <c r="X52" s="45" t="b">
        <f>IFERROR(__xludf.DUMMYFUNCTION("""COMPUTED_VALUE"""),FALSE)</f>
        <v>0</v>
      </c>
      <c r="Y52" s="45" t="b">
        <f>IFERROR(__xludf.DUMMYFUNCTION("""COMPUTED_VALUE"""),FALSE)</f>
        <v>0</v>
      </c>
      <c r="Z52" s="45" t="b">
        <f>IFERROR(__xludf.DUMMYFUNCTION("""COMPUTED_VALUE"""),FALSE)</f>
        <v>0</v>
      </c>
      <c r="AA52" s="45" t="b">
        <f>IFERROR(__xludf.DUMMYFUNCTION("""COMPUTED_VALUE"""),FALSE)</f>
        <v>0</v>
      </c>
      <c r="AB52" s="45" t="b">
        <f>IFERROR(__xludf.DUMMYFUNCTION("""COMPUTED_VALUE"""),FALSE)</f>
        <v>0</v>
      </c>
      <c r="AC52" s="45" t="b">
        <f>IFERROR(__xludf.DUMMYFUNCTION("""COMPUTED_VALUE"""),TRUE)</f>
        <v>1</v>
      </c>
      <c r="AD52" s="45" t="b">
        <f>IFERROR(__xludf.DUMMYFUNCTION("""COMPUTED_VALUE"""),TRUE)</f>
        <v>1</v>
      </c>
      <c r="AE52" s="45" t="b">
        <f>IFERROR(__xludf.DUMMYFUNCTION("""COMPUTED_VALUE"""),TRUE)</f>
        <v>1</v>
      </c>
    </row>
    <row r="53">
      <c r="A53" s="6" t="b">
        <v>0</v>
      </c>
      <c r="B53" s="45" t="str">
        <f>IFERROR(__xludf.DUMMYFUNCTION("""COMPUTED_VALUE"""),"Butterfly Fish")</f>
        <v>Butterfly Fish</v>
      </c>
      <c r="C53" s="45">
        <f>IFERROR(__xludf.DUMMYFUNCTION("""COMPUTED_VALUE"""),1000.0)</f>
        <v>1000</v>
      </c>
      <c r="D53" s="45" t="str">
        <f>IFERROR(__xludf.DUMMYFUNCTION("""COMPUTED_VALUE"""),"All day")</f>
        <v>All day</v>
      </c>
      <c r="E53" s="45" t="str">
        <f>IFERROR(__xludf.DUMMYFUNCTION("""COMPUTED_VALUE"""),"Sea")</f>
        <v>Sea</v>
      </c>
      <c r="F53" s="45" t="str">
        <f>IFERROR(__xludf.DUMMYFUNCTION("""COMPUTED_VALUE"""),"Small")</f>
        <v>Small</v>
      </c>
      <c r="G53" s="45" t="b">
        <f>IFERROR(__xludf.DUMMYFUNCTION("""COMPUTED_VALUE"""),FALSE)</f>
        <v>0</v>
      </c>
      <c r="H53" s="45" t="b">
        <f>IFERROR(__xludf.DUMMYFUNCTION("""COMPUTED_VALUE"""),FALSE)</f>
        <v>0</v>
      </c>
      <c r="I53" s="45" t="b">
        <f>IFERROR(__xludf.DUMMYFUNCTION("""COMPUTED_VALUE"""),FALSE)</f>
        <v>0</v>
      </c>
      <c r="J53" s="45" t="b">
        <f>IFERROR(__xludf.DUMMYFUNCTION("""COMPUTED_VALUE"""),TRUE)</f>
        <v>1</v>
      </c>
      <c r="K53" s="45" t="b">
        <f>IFERROR(__xludf.DUMMYFUNCTION("""COMPUTED_VALUE"""),TRUE)</f>
        <v>1</v>
      </c>
      <c r="L53" s="45" t="b">
        <f>IFERROR(__xludf.DUMMYFUNCTION("""COMPUTED_VALUE"""),TRUE)</f>
        <v>1</v>
      </c>
      <c r="M53" s="45" t="b">
        <f>IFERROR(__xludf.DUMMYFUNCTION("""COMPUTED_VALUE"""),TRUE)</f>
        <v>1</v>
      </c>
      <c r="N53" s="45" t="b">
        <f>IFERROR(__xludf.DUMMYFUNCTION("""COMPUTED_VALUE"""),TRUE)</f>
        <v>1</v>
      </c>
      <c r="O53" s="45" t="b">
        <f>IFERROR(__xludf.DUMMYFUNCTION("""COMPUTED_VALUE"""),TRUE)</f>
        <v>1</v>
      </c>
      <c r="P53" s="45" t="b">
        <f>IFERROR(__xludf.DUMMYFUNCTION("""COMPUTED_VALUE"""),FALSE)</f>
        <v>0</v>
      </c>
      <c r="Q53" s="45" t="b">
        <f>IFERROR(__xludf.DUMMYFUNCTION("""COMPUTED_VALUE"""),FALSE)</f>
        <v>0</v>
      </c>
      <c r="R53" s="45" t="b">
        <f>IFERROR(__xludf.DUMMYFUNCTION("""COMPUTED_VALUE"""),FALSE)</f>
        <v>0</v>
      </c>
      <c r="S53" s="45"/>
      <c r="T53" s="45" t="b">
        <f>IFERROR(__xludf.DUMMYFUNCTION("""COMPUTED_VALUE"""),TRUE)</f>
        <v>1</v>
      </c>
      <c r="U53" s="45" t="b">
        <f>IFERROR(__xludf.DUMMYFUNCTION("""COMPUTED_VALUE"""),TRUE)</f>
        <v>1</v>
      </c>
      <c r="V53" s="45" t="b">
        <f>IFERROR(__xludf.DUMMYFUNCTION("""COMPUTED_VALUE"""),TRUE)</f>
        <v>1</v>
      </c>
      <c r="W53" s="45" t="b">
        <f>IFERROR(__xludf.DUMMYFUNCTION("""COMPUTED_VALUE"""),FALSE)</f>
        <v>0</v>
      </c>
      <c r="X53" s="45" t="b">
        <f>IFERROR(__xludf.DUMMYFUNCTION("""COMPUTED_VALUE"""),FALSE)</f>
        <v>0</v>
      </c>
      <c r="Y53" s="45" t="b">
        <f>IFERROR(__xludf.DUMMYFUNCTION("""COMPUTED_VALUE"""),FALSE)</f>
        <v>0</v>
      </c>
      <c r="Z53" s="45" t="b">
        <f>IFERROR(__xludf.DUMMYFUNCTION("""COMPUTED_VALUE"""),FALSE)</f>
        <v>0</v>
      </c>
      <c r="AA53" s="45" t="b">
        <f>IFERROR(__xludf.DUMMYFUNCTION("""COMPUTED_VALUE"""),FALSE)</f>
        <v>0</v>
      </c>
      <c r="AB53" s="45" t="b">
        <f>IFERROR(__xludf.DUMMYFUNCTION("""COMPUTED_VALUE"""),FALSE)</f>
        <v>0</v>
      </c>
      <c r="AC53" s="45" t="b">
        <f>IFERROR(__xludf.DUMMYFUNCTION("""COMPUTED_VALUE"""),TRUE)</f>
        <v>1</v>
      </c>
      <c r="AD53" s="45" t="b">
        <f>IFERROR(__xludf.DUMMYFUNCTION("""COMPUTED_VALUE"""),TRUE)</f>
        <v>1</v>
      </c>
      <c r="AE53" s="45" t="b">
        <f>IFERROR(__xludf.DUMMYFUNCTION("""COMPUTED_VALUE"""),TRUE)</f>
        <v>1</v>
      </c>
    </row>
    <row r="54">
      <c r="A54" s="6" t="b">
        <v>0</v>
      </c>
      <c r="B54" s="45" t="str">
        <f>IFERROR(__xludf.DUMMYFUNCTION("""COMPUTED_VALUE"""),"Napoleonfish")</f>
        <v>Napoleonfish</v>
      </c>
      <c r="C54" s="45">
        <f>IFERROR(__xludf.DUMMYFUNCTION("""COMPUTED_VALUE"""),10000.0)</f>
        <v>10000</v>
      </c>
      <c r="D54" s="45" t="str">
        <f>IFERROR(__xludf.DUMMYFUNCTION("""COMPUTED_VALUE"""),"4 a.m. - 9 p.m.")</f>
        <v>4 a.m. - 9 p.m.</v>
      </c>
      <c r="E54" s="45" t="str">
        <f>IFERROR(__xludf.DUMMYFUNCTION("""COMPUTED_VALUE"""),"Sea")</f>
        <v>Sea</v>
      </c>
      <c r="F54" s="45" t="str">
        <f>IFERROR(__xludf.DUMMYFUNCTION("""COMPUTED_VALUE"""),"Largest")</f>
        <v>Largest</v>
      </c>
      <c r="G54" s="45" t="b">
        <f>IFERROR(__xludf.DUMMYFUNCTION("""COMPUTED_VALUE"""),FALSE)</f>
        <v>0</v>
      </c>
      <c r="H54" s="45" t="b">
        <f>IFERROR(__xludf.DUMMYFUNCTION("""COMPUTED_VALUE"""),FALSE)</f>
        <v>0</v>
      </c>
      <c r="I54" s="45" t="b">
        <f>IFERROR(__xludf.DUMMYFUNCTION("""COMPUTED_VALUE"""),FALSE)</f>
        <v>0</v>
      </c>
      <c r="J54" s="45" t="b">
        <f>IFERROR(__xludf.DUMMYFUNCTION("""COMPUTED_VALUE"""),FALSE)</f>
        <v>0</v>
      </c>
      <c r="K54" s="45" t="b">
        <f>IFERROR(__xludf.DUMMYFUNCTION("""COMPUTED_VALUE"""),FALSE)</f>
        <v>0</v>
      </c>
      <c r="L54" s="45" t="b">
        <f>IFERROR(__xludf.DUMMYFUNCTION("""COMPUTED_VALUE"""),FALSE)</f>
        <v>0</v>
      </c>
      <c r="M54" s="45" t="b">
        <f>IFERROR(__xludf.DUMMYFUNCTION("""COMPUTED_VALUE"""),TRUE)</f>
        <v>1</v>
      </c>
      <c r="N54" s="45" t="b">
        <f>IFERROR(__xludf.DUMMYFUNCTION("""COMPUTED_VALUE"""),TRUE)</f>
        <v>1</v>
      </c>
      <c r="O54" s="45" t="b">
        <f>IFERROR(__xludf.DUMMYFUNCTION("""COMPUTED_VALUE"""),FALSE)</f>
        <v>0</v>
      </c>
      <c r="P54" s="45" t="b">
        <f>IFERROR(__xludf.DUMMYFUNCTION("""COMPUTED_VALUE"""),FALSE)</f>
        <v>0</v>
      </c>
      <c r="Q54" s="45" t="b">
        <f>IFERROR(__xludf.DUMMYFUNCTION("""COMPUTED_VALUE"""),FALSE)</f>
        <v>0</v>
      </c>
      <c r="R54" s="45" t="b">
        <f>IFERROR(__xludf.DUMMYFUNCTION("""COMPUTED_VALUE"""),FALSE)</f>
        <v>0</v>
      </c>
      <c r="S54" s="45"/>
      <c r="T54" s="45" t="b">
        <f>IFERROR(__xludf.DUMMYFUNCTION("""COMPUTED_VALUE"""),TRUE)</f>
        <v>1</v>
      </c>
      <c r="U54" s="45" t="b">
        <f>IFERROR(__xludf.DUMMYFUNCTION("""COMPUTED_VALUE"""),TRUE)</f>
        <v>1</v>
      </c>
      <c r="V54" s="45" t="b">
        <f>IFERROR(__xludf.DUMMYFUNCTION("""COMPUTED_VALUE"""),FALSE)</f>
        <v>0</v>
      </c>
      <c r="W54" s="45" t="b">
        <f>IFERROR(__xludf.DUMMYFUNCTION("""COMPUTED_VALUE"""),FALSE)</f>
        <v>0</v>
      </c>
      <c r="X54" s="45" t="b">
        <f>IFERROR(__xludf.DUMMYFUNCTION("""COMPUTED_VALUE"""),FALSE)</f>
        <v>0</v>
      </c>
      <c r="Y54" s="45" t="b">
        <f>IFERROR(__xludf.DUMMYFUNCTION("""COMPUTED_VALUE"""),FALSE)</f>
        <v>0</v>
      </c>
      <c r="Z54" s="45" t="b">
        <f>IFERROR(__xludf.DUMMYFUNCTION("""COMPUTED_VALUE"""),FALSE)</f>
        <v>0</v>
      </c>
      <c r="AA54" s="45" t="b">
        <f>IFERROR(__xludf.DUMMYFUNCTION("""COMPUTED_VALUE"""),FALSE)</f>
        <v>0</v>
      </c>
      <c r="AB54" s="45" t="b">
        <f>IFERROR(__xludf.DUMMYFUNCTION("""COMPUTED_VALUE"""),FALSE)</f>
        <v>0</v>
      </c>
      <c r="AC54" s="45" t="b">
        <f>IFERROR(__xludf.DUMMYFUNCTION("""COMPUTED_VALUE"""),FALSE)</f>
        <v>0</v>
      </c>
      <c r="AD54" s="45" t="b">
        <f>IFERROR(__xludf.DUMMYFUNCTION("""COMPUTED_VALUE"""),FALSE)</f>
        <v>0</v>
      </c>
      <c r="AE54" s="45" t="b">
        <f>IFERROR(__xludf.DUMMYFUNCTION("""COMPUTED_VALUE"""),FALSE)</f>
        <v>0</v>
      </c>
    </row>
    <row r="55">
      <c r="A55" s="6" t="b">
        <v>0</v>
      </c>
      <c r="B55" s="45" t="str">
        <f>IFERROR(__xludf.DUMMYFUNCTION("""COMPUTED_VALUE"""),"Zebra turkeyfish")</f>
        <v>Zebra turkeyfish</v>
      </c>
      <c r="C55" s="45">
        <f>IFERROR(__xludf.DUMMYFUNCTION("""COMPUTED_VALUE"""),500.0)</f>
        <v>500</v>
      </c>
      <c r="D55" s="45" t="str">
        <f>IFERROR(__xludf.DUMMYFUNCTION("""COMPUTED_VALUE"""),"All day")</f>
        <v>All day</v>
      </c>
      <c r="E55" s="45" t="str">
        <f>IFERROR(__xludf.DUMMYFUNCTION("""COMPUTED_VALUE"""),"Sea")</f>
        <v>Sea</v>
      </c>
      <c r="F55" s="45" t="str">
        <f>IFERROR(__xludf.DUMMYFUNCTION("""COMPUTED_VALUE"""),"Medium")</f>
        <v>Medium</v>
      </c>
      <c r="G55" s="45" t="b">
        <f>IFERROR(__xludf.DUMMYFUNCTION("""COMPUTED_VALUE"""),FALSE)</f>
        <v>0</v>
      </c>
      <c r="H55" s="45" t="b">
        <f>IFERROR(__xludf.DUMMYFUNCTION("""COMPUTED_VALUE"""),FALSE)</f>
        <v>0</v>
      </c>
      <c r="I55" s="45" t="b">
        <f>IFERROR(__xludf.DUMMYFUNCTION("""COMPUTED_VALUE"""),FALSE)</f>
        <v>0</v>
      </c>
      <c r="J55" s="45" t="b">
        <f>IFERROR(__xludf.DUMMYFUNCTION("""COMPUTED_VALUE"""),TRUE)</f>
        <v>1</v>
      </c>
      <c r="K55" s="45" t="b">
        <f>IFERROR(__xludf.DUMMYFUNCTION("""COMPUTED_VALUE"""),TRUE)</f>
        <v>1</v>
      </c>
      <c r="L55" s="45" t="b">
        <f>IFERROR(__xludf.DUMMYFUNCTION("""COMPUTED_VALUE"""),TRUE)</f>
        <v>1</v>
      </c>
      <c r="M55" s="45" t="b">
        <f>IFERROR(__xludf.DUMMYFUNCTION("""COMPUTED_VALUE"""),TRUE)</f>
        <v>1</v>
      </c>
      <c r="N55" s="45" t="b">
        <f>IFERROR(__xludf.DUMMYFUNCTION("""COMPUTED_VALUE"""),TRUE)</f>
        <v>1</v>
      </c>
      <c r="O55" s="45" t="b">
        <f>IFERROR(__xludf.DUMMYFUNCTION("""COMPUTED_VALUE"""),TRUE)</f>
        <v>1</v>
      </c>
      <c r="P55" s="45" t="b">
        <f>IFERROR(__xludf.DUMMYFUNCTION("""COMPUTED_VALUE"""),TRUE)</f>
        <v>1</v>
      </c>
      <c r="Q55" s="45" t="b">
        <f>IFERROR(__xludf.DUMMYFUNCTION("""COMPUTED_VALUE"""),TRUE)</f>
        <v>1</v>
      </c>
      <c r="R55" s="45" t="b">
        <f>IFERROR(__xludf.DUMMYFUNCTION("""COMPUTED_VALUE"""),FALSE)</f>
        <v>0</v>
      </c>
      <c r="S55" s="45"/>
      <c r="T55" s="45" t="b">
        <f>IFERROR(__xludf.DUMMYFUNCTION("""COMPUTED_VALUE"""),TRUE)</f>
        <v>1</v>
      </c>
      <c r="U55" s="45" t="b">
        <f>IFERROR(__xludf.DUMMYFUNCTION("""COMPUTED_VALUE"""),TRUE)</f>
        <v>1</v>
      </c>
      <c r="V55" s="45" t="b">
        <f>IFERROR(__xludf.DUMMYFUNCTION("""COMPUTED_VALUE"""),TRUE)</f>
        <v>1</v>
      </c>
      <c r="W55" s="45" t="b">
        <f>IFERROR(__xludf.DUMMYFUNCTION("""COMPUTED_VALUE"""),TRUE)</f>
        <v>1</v>
      </c>
      <c r="X55" s="45" t="b">
        <f>IFERROR(__xludf.DUMMYFUNCTION("""COMPUTED_VALUE"""),TRUE)</f>
        <v>1</v>
      </c>
      <c r="Y55" s="45" t="b">
        <f>IFERROR(__xludf.DUMMYFUNCTION("""COMPUTED_VALUE"""),FALSE)</f>
        <v>0</v>
      </c>
      <c r="Z55" s="45" t="b">
        <f>IFERROR(__xludf.DUMMYFUNCTION("""COMPUTED_VALUE"""),FALSE)</f>
        <v>0</v>
      </c>
      <c r="AA55" s="45" t="b">
        <f>IFERROR(__xludf.DUMMYFUNCTION("""COMPUTED_VALUE"""),FALSE)</f>
        <v>0</v>
      </c>
      <c r="AB55" s="45" t="b">
        <f>IFERROR(__xludf.DUMMYFUNCTION("""COMPUTED_VALUE"""),FALSE)</f>
        <v>0</v>
      </c>
      <c r="AC55" s="45" t="b">
        <f>IFERROR(__xludf.DUMMYFUNCTION("""COMPUTED_VALUE"""),TRUE)</f>
        <v>1</v>
      </c>
      <c r="AD55" s="45" t="b">
        <f>IFERROR(__xludf.DUMMYFUNCTION("""COMPUTED_VALUE"""),TRUE)</f>
        <v>1</v>
      </c>
      <c r="AE55" s="45" t="b">
        <f>IFERROR(__xludf.DUMMYFUNCTION("""COMPUTED_VALUE"""),TRUE)</f>
        <v>1</v>
      </c>
    </row>
    <row r="56">
      <c r="A56" s="6" t="b">
        <v>0</v>
      </c>
      <c r="B56" s="45" t="str">
        <f>IFERROR(__xludf.DUMMYFUNCTION("""COMPUTED_VALUE"""),"Blowfish")</f>
        <v>Blowfish</v>
      </c>
      <c r="C56" s="45">
        <f>IFERROR(__xludf.DUMMYFUNCTION("""COMPUTED_VALUE"""),5000.0)</f>
        <v>5000</v>
      </c>
      <c r="D56" s="45" t="str">
        <f>IFERROR(__xludf.DUMMYFUNCTION("""COMPUTED_VALUE"""),"9 p.m. - 4 a.m.")</f>
        <v>9 p.m. - 4 a.m.</v>
      </c>
      <c r="E56" s="45" t="str">
        <f>IFERROR(__xludf.DUMMYFUNCTION("""COMPUTED_VALUE"""),"Sea")</f>
        <v>Sea</v>
      </c>
      <c r="F56" s="45" t="str">
        <f>IFERROR(__xludf.DUMMYFUNCTION("""COMPUTED_VALUE"""),"Medium")</f>
        <v>Medium</v>
      </c>
      <c r="G56" s="45" t="b">
        <f>IFERROR(__xludf.DUMMYFUNCTION("""COMPUTED_VALUE"""),TRUE)</f>
        <v>1</v>
      </c>
      <c r="H56" s="45" t="b">
        <f>IFERROR(__xludf.DUMMYFUNCTION("""COMPUTED_VALUE"""),TRUE)</f>
        <v>1</v>
      </c>
      <c r="I56" s="45" t="b">
        <f>IFERROR(__xludf.DUMMYFUNCTION("""COMPUTED_VALUE"""),FALSE)</f>
        <v>0</v>
      </c>
      <c r="J56" s="45" t="b">
        <f>IFERROR(__xludf.DUMMYFUNCTION("""COMPUTED_VALUE"""),FALSE)</f>
        <v>0</v>
      </c>
      <c r="K56" s="45" t="b">
        <f>IFERROR(__xludf.DUMMYFUNCTION("""COMPUTED_VALUE"""),FALSE)</f>
        <v>0</v>
      </c>
      <c r="L56" s="45" t="b">
        <f>IFERROR(__xludf.DUMMYFUNCTION("""COMPUTED_VALUE"""),FALSE)</f>
        <v>0</v>
      </c>
      <c r="M56" s="45" t="b">
        <f>IFERROR(__xludf.DUMMYFUNCTION("""COMPUTED_VALUE"""),FALSE)</f>
        <v>0</v>
      </c>
      <c r="N56" s="45" t="b">
        <f>IFERROR(__xludf.DUMMYFUNCTION("""COMPUTED_VALUE"""),FALSE)</f>
        <v>0</v>
      </c>
      <c r="O56" s="45" t="b">
        <f>IFERROR(__xludf.DUMMYFUNCTION("""COMPUTED_VALUE"""),FALSE)</f>
        <v>0</v>
      </c>
      <c r="P56" s="45" t="b">
        <f>IFERROR(__xludf.DUMMYFUNCTION("""COMPUTED_VALUE"""),FALSE)</f>
        <v>0</v>
      </c>
      <c r="Q56" s="45" t="b">
        <f>IFERROR(__xludf.DUMMYFUNCTION("""COMPUTED_VALUE"""),TRUE)</f>
        <v>1</v>
      </c>
      <c r="R56" s="45" t="b">
        <f>IFERROR(__xludf.DUMMYFUNCTION("""COMPUTED_VALUE"""),TRUE)</f>
        <v>1</v>
      </c>
      <c r="S56" s="45"/>
      <c r="T56" s="45" t="b">
        <f>IFERROR(__xludf.DUMMYFUNCTION("""COMPUTED_VALUE"""),FALSE)</f>
        <v>0</v>
      </c>
      <c r="U56" s="45" t="b">
        <f>IFERROR(__xludf.DUMMYFUNCTION("""COMPUTED_VALUE"""),FALSE)</f>
        <v>0</v>
      </c>
      <c r="V56" s="45" t="b">
        <f>IFERROR(__xludf.DUMMYFUNCTION("""COMPUTED_VALUE"""),FALSE)</f>
        <v>0</v>
      </c>
      <c r="W56" s="45" t="b">
        <f>IFERROR(__xludf.DUMMYFUNCTION("""COMPUTED_VALUE"""),FALSE)</f>
        <v>0</v>
      </c>
      <c r="X56" s="45" t="b">
        <f>IFERROR(__xludf.DUMMYFUNCTION("""COMPUTED_VALUE"""),TRUE)</f>
        <v>1</v>
      </c>
      <c r="Y56" s="45" t="b">
        <f>IFERROR(__xludf.DUMMYFUNCTION("""COMPUTED_VALUE"""),TRUE)</f>
        <v>1</v>
      </c>
      <c r="Z56" s="45" t="b">
        <f>IFERROR(__xludf.DUMMYFUNCTION("""COMPUTED_VALUE"""),TRUE)</f>
        <v>1</v>
      </c>
      <c r="AA56" s="45" t="b">
        <f>IFERROR(__xludf.DUMMYFUNCTION("""COMPUTED_VALUE"""),TRUE)</f>
        <v>1</v>
      </c>
      <c r="AB56" s="45" t="b">
        <f>IFERROR(__xludf.DUMMYFUNCTION("""COMPUTED_VALUE"""),FALSE)</f>
        <v>0</v>
      </c>
      <c r="AC56" s="45" t="b">
        <f>IFERROR(__xludf.DUMMYFUNCTION("""COMPUTED_VALUE"""),FALSE)</f>
        <v>0</v>
      </c>
      <c r="AD56" s="45" t="b">
        <f>IFERROR(__xludf.DUMMYFUNCTION("""COMPUTED_VALUE"""),FALSE)</f>
        <v>0</v>
      </c>
      <c r="AE56" s="45" t="b">
        <f>IFERROR(__xludf.DUMMYFUNCTION("""COMPUTED_VALUE"""),FALSE)</f>
        <v>0</v>
      </c>
    </row>
    <row r="57">
      <c r="A57" s="6" t="b">
        <v>0</v>
      </c>
      <c r="B57" s="45" t="str">
        <f>IFERROR(__xludf.DUMMYFUNCTION("""COMPUTED_VALUE"""),"Puffer fish")</f>
        <v>Puffer fish</v>
      </c>
      <c r="C57" s="45">
        <f>IFERROR(__xludf.DUMMYFUNCTION("""COMPUTED_VALUE"""),250.0)</f>
        <v>250</v>
      </c>
      <c r="D57" s="45" t="str">
        <f>IFERROR(__xludf.DUMMYFUNCTION("""COMPUTED_VALUE"""),"All day")</f>
        <v>All day</v>
      </c>
      <c r="E57" s="45" t="str">
        <f>IFERROR(__xludf.DUMMYFUNCTION("""COMPUTED_VALUE"""),"Sea")</f>
        <v>Sea</v>
      </c>
      <c r="F57" s="45" t="str">
        <f>IFERROR(__xludf.DUMMYFUNCTION("""COMPUTED_VALUE"""),"Medium")</f>
        <v>Medium</v>
      </c>
      <c r="G57" s="45" t="b">
        <f>IFERROR(__xludf.DUMMYFUNCTION("""COMPUTED_VALUE"""),FALSE)</f>
        <v>0</v>
      </c>
      <c r="H57" s="45" t="b">
        <f>IFERROR(__xludf.DUMMYFUNCTION("""COMPUTED_VALUE"""),FALSE)</f>
        <v>0</v>
      </c>
      <c r="I57" s="45" t="b">
        <f>IFERROR(__xludf.DUMMYFUNCTION("""COMPUTED_VALUE"""),FALSE)</f>
        <v>0</v>
      </c>
      <c r="J57" s="45" t="b">
        <f>IFERROR(__xludf.DUMMYFUNCTION("""COMPUTED_VALUE"""),FALSE)</f>
        <v>0</v>
      </c>
      <c r="K57" s="45" t="b">
        <f>IFERROR(__xludf.DUMMYFUNCTION("""COMPUTED_VALUE"""),FALSE)</f>
        <v>0</v>
      </c>
      <c r="L57" s="45" t="b">
        <f>IFERROR(__xludf.DUMMYFUNCTION("""COMPUTED_VALUE"""),FALSE)</f>
        <v>0</v>
      </c>
      <c r="M57" s="45" t="b">
        <f>IFERROR(__xludf.DUMMYFUNCTION("""COMPUTED_VALUE"""),TRUE)</f>
        <v>1</v>
      </c>
      <c r="N57" s="45" t="b">
        <f>IFERROR(__xludf.DUMMYFUNCTION("""COMPUTED_VALUE"""),TRUE)</f>
        <v>1</v>
      </c>
      <c r="O57" s="45" t="b">
        <f>IFERROR(__xludf.DUMMYFUNCTION("""COMPUTED_VALUE"""),TRUE)</f>
        <v>1</v>
      </c>
      <c r="P57" s="45" t="b">
        <f>IFERROR(__xludf.DUMMYFUNCTION("""COMPUTED_VALUE"""),FALSE)</f>
        <v>0</v>
      </c>
      <c r="Q57" s="45" t="b">
        <f>IFERROR(__xludf.DUMMYFUNCTION("""COMPUTED_VALUE"""),FALSE)</f>
        <v>0</v>
      </c>
      <c r="R57" s="45" t="b">
        <f>IFERROR(__xludf.DUMMYFUNCTION("""COMPUTED_VALUE"""),FALSE)</f>
        <v>0</v>
      </c>
      <c r="S57" s="45"/>
      <c r="T57" s="45" t="b">
        <f>IFERROR(__xludf.DUMMYFUNCTION("""COMPUTED_VALUE"""),TRUE)</f>
        <v>1</v>
      </c>
      <c r="U57" s="45" t="b">
        <f>IFERROR(__xludf.DUMMYFUNCTION("""COMPUTED_VALUE"""),TRUE)</f>
        <v>1</v>
      </c>
      <c r="V57" s="45" t="b">
        <f>IFERROR(__xludf.DUMMYFUNCTION("""COMPUTED_VALUE"""),TRUE)</f>
        <v>1</v>
      </c>
      <c r="W57" s="45" t="b">
        <f>IFERROR(__xludf.DUMMYFUNCTION("""COMPUTED_VALUE"""),FALSE)</f>
        <v>0</v>
      </c>
      <c r="X57" s="45" t="b">
        <f>IFERROR(__xludf.DUMMYFUNCTION("""COMPUTED_VALUE"""),FALSE)</f>
        <v>0</v>
      </c>
      <c r="Y57" s="45" t="b">
        <f>IFERROR(__xludf.DUMMYFUNCTION("""COMPUTED_VALUE"""),FALSE)</f>
        <v>0</v>
      </c>
      <c r="Z57" s="45" t="b">
        <f>IFERROR(__xludf.DUMMYFUNCTION("""COMPUTED_VALUE"""),FALSE)</f>
        <v>0</v>
      </c>
      <c r="AA57" s="45" t="b">
        <f>IFERROR(__xludf.DUMMYFUNCTION("""COMPUTED_VALUE"""),FALSE)</f>
        <v>0</v>
      </c>
      <c r="AB57" s="45" t="b">
        <f>IFERROR(__xludf.DUMMYFUNCTION("""COMPUTED_VALUE"""),FALSE)</f>
        <v>0</v>
      </c>
      <c r="AC57" s="45" t="b">
        <f>IFERROR(__xludf.DUMMYFUNCTION("""COMPUTED_VALUE"""),FALSE)</f>
        <v>0</v>
      </c>
      <c r="AD57" s="45" t="b">
        <f>IFERROR(__xludf.DUMMYFUNCTION("""COMPUTED_VALUE"""),FALSE)</f>
        <v>0</v>
      </c>
      <c r="AE57" s="45" t="b">
        <f>IFERROR(__xludf.DUMMYFUNCTION("""COMPUTED_VALUE"""),FALSE)</f>
        <v>0</v>
      </c>
    </row>
    <row r="58">
      <c r="A58" s="6" t="b">
        <v>0</v>
      </c>
      <c r="B58" s="45" t="str">
        <f>IFERROR(__xludf.DUMMYFUNCTION("""COMPUTED_VALUE"""),"Anchovy")</f>
        <v>Anchovy</v>
      </c>
      <c r="C58" s="45">
        <f>IFERROR(__xludf.DUMMYFUNCTION("""COMPUTED_VALUE"""),200.0)</f>
        <v>200</v>
      </c>
      <c r="D58" s="45" t="str">
        <f>IFERROR(__xludf.DUMMYFUNCTION("""COMPUTED_VALUE"""),"4 a.m. - 9 p.m.")</f>
        <v>4 a.m. - 9 p.m.</v>
      </c>
      <c r="E58" s="45" t="str">
        <f>IFERROR(__xludf.DUMMYFUNCTION("""COMPUTED_VALUE"""),"Sea")</f>
        <v>Sea</v>
      </c>
      <c r="F58" s="45" t="str">
        <f>IFERROR(__xludf.DUMMYFUNCTION("""COMPUTED_VALUE"""),"Small")</f>
        <v>Small</v>
      </c>
      <c r="G58" s="45" t="b">
        <f>IFERROR(__xludf.DUMMYFUNCTION("""COMPUTED_VALUE"""),TRUE)</f>
        <v>1</v>
      </c>
      <c r="H58" s="45" t="b">
        <f>IFERROR(__xludf.DUMMYFUNCTION("""COMPUTED_VALUE"""),TRUE)</f>
        <v>1</v>
      </c>
      <c r="I58" s="45" t="b">
        <f>IFERROR(__xludf.DUMMYFUNCTION("""COMPUTED_VALUE"""),TRUE)</f>
        <v>1</v>
      </c>
      <c r="J58" s="45" t="b">
        <f>IFERROR(__xludf.DUMMYFUNCTION("""COMPUTED_VALUE"""),TRUE)</f>
        <v>1</v>
      </c>
      <c r="K58" s="45" t="b">
        <f>IFERROR(__xludf.DUMMYFUNCTION("""COMPUTED_VALUE"""),TRUE)</f>
        <v>1</v>
      </c>
      <c r="L58" s="45" t="b">
        <f>IFERROR(__xludf.DUMMYFUNCTION("""COMPUTED_VALUE"""),TRUE)</f>
        <v>1</v>
      </c>
      <c r="M58" s="45" t="b">
        <f>IFERROR(__xludf.DUMMYFUNCTION("""COMPUTED_VALUE"""),TRUE)</f>
        <v>1</v>
      </c>
      <c r="N58" s="45" t="b">
        <f>IFERROR(__xludf.DUMMYFUNCTION("""COMPUTED_VALUE"""),TRUE)</f>
        <v>1</v>
      </c>
      <c r="O58" s="45" t="b">
        <f>IFERROR(__xludf.DUMMYFUNCTION("""COMPUTED_VALUE"""),TRUE)</f>
        <v>1</v>
      </c>
      <c r="P58" s="45" t="b">
        <f>IFERROR(__xludf.DUMMYFUNCTION("""COMPUTED_VALUE"""),TRUE)</f>
        <v>1</v>
      </c>
      <c r="Q58" s="45" t="b">
        <f>IFERROR(__xludf.DUMMYFUNCTION("""COMPUTED_VALUE"""),TRUE)</f>
        <v>1</v>
      </c>
      <c r="R58" s="45" t="b">
        <f>IFERROR(__xludf.DUMMYFUNCTION("""COMPUTED_VALUE"""),TRUE)</f>
        <v>1</v>
      </c>
      <c r="S58" s="45"/>
      <c r="T58" s="45" t="b">
        <f>IFERROR(__xludf.DUMMYFUNCTION("""COMPUTED_VALUE"""),TRUE)</f>
        <v>1</v>
      </c>
      <c r="U58" s="45" t="b">
        <f>IFERROR(__xludf.DUMMYFUNCTION("""COMPUTED_VALUE"""),TRUE)</f>
        <v>1</v>
      </c>
      <c r="V58" s="45" t="b">
        <f>IFERROR(__xludf.DUMMYFUNCTION("""COMPUTED_VALUE"""),TRUE)</f>
        <v>1</v>
      </c>
      <c r="W58" s="45" t="b">
        <f>IFERROR(__xludf.DUMMYFUNCTION("""COMPUTED_VALUE"""),TRUE)</f>
        <v>1</v>
      </c>
      <c r="X58" s="45" t="b">
        <f>IFERROR(__xludf.DUMMYFUNCTION("""COMPUTED_VALUE"""),TRUE)</f>
        <v>1</v>
      </c>
      <c r="Y58" s="45" t="b">
        <f>IFERROR(__xludf.DUMMYFUNCTION("""COMPUTED_VALUE"""),TRUE)</f>
        <v>1</v>
      </c>
      <c r="Z58" s="45" t="b">
        <f>IFERROR(__xludf.DUMMYFUNCTION("""COMPUTED_VALUE"""),TRUE)</f>
        <v>1</v>
      </c>
      <c r="AA58" s="45" t="b">
        <f>IFERROR(__xludf.DUMMYFUNCTION("""COMPUTED_VALUE"""),TRUE)</f>
        <v>1</v>
      </c>
      <c r="AB58" s="45" t="b">
        <f>IFERROR(__xludf.DUMMYFUNCTION("""COMPUTED_VALUE"""),TRUE)</f>
        <v>1</v>
      </c>
      <c r="AC58" s="45" t="b">
        <f>IFERROR(__xludf.DUMMYFUNCTION("""COMPUTED_VALUE"""),TRUE)</f>
        <v>1</v>
      </c>
      <c r="AD58" s="45" t="b">
        <f>IFERROR(__xludf.DUMMYFUNCTION("""COMPUTED_VALUE"""),TRUE)</f>
        <v>1</v>
      </c>
      <c r="AE58" s="45" t="b">
        <f>IFERROR(__xludf.DUMMYFUNCTION("""COMPUTED_VALUE"""),TRUE)</f>
        <v>1</v>
      </c>
    </row>
    <row r="59">
      <c r="A59" s="6" t="b">
        <v>0</v>
      </c>
      <c r="B59" s="45" t="str">
        <f>IFERROR(__xludf.DUMMYFUNCTION("""COMPUTED_VALUE"""),"Horse mackerel")</f>
        <v>Horse mackerel</v>
      </c>
      <c r="C59" s="45">
        <f>IFERROR(__xludf.DUMMYFUNCTION("""COMPUTED_VALUE"""),150.0)</f>
        <v>150</v>
      </c>
      <c r="D59" s="45" t="str">
        <f>IFERROR(__xludf.DUMMYFUNCTION("""COMPUTED_VALUE"""),"All day")</f>
        <v>All day</v>
      </c>
      <c r="E59" s="45" t="str">
        <f>IFERROR(__xludf.DUMMYFUNCTION("""COMPUTED_VALUE"""),"Sea")</f>
        <v>Sea</v>
      </c>
      <c r="F59" s="45" t="str">
        <f>IFERROR(__xludf.DUMMYFUNCTION("""COMPUTED_VALUE"""),"Small")</f>
        <v>Small</v>
      </c>
      <c r="G59" s="45" t="b">
        <f>IFERROR(__xludf.DUMMYFUNCTION("""COMPUTED_VALUE"""),TRUE)</f>
        <v>1</v>
      </c>
      <c r="H59" s="45" t="b">
        <f>IFERROR(__xludf.DUMMYFUNCTION("""COMPUTED_VALUE"""),TRUE)</f>
        <v>1</v>
      </c>
      <c r="I59" s="45" t="b">
        <f>IFERROR(__xludf.DUMMYFUNCTION("""COMPUTED_VALUE"""),TRUE)</f>
        <v>1</v>
      </c>
      <c r="J59" s="45" t="b">
        <f>IFERROR(__xludf.DUMMYFUNCTION("""COMPUTED_VALUE"""),TRUE)</f>
        <v>1</v>
      </c>
      <c r="K59" s="45" t="b">
        <f>IFERROR(__xludf.DUMMYFUNCTION("""COMPUTED_VALUE"""),TRUE)</f>
        <v>1</v>
      </c>
      <c r="L59" s="45" t="b">
        <f>IFERROR(__xludf.DUMMYFUNCTION("""COMPUTED_VALUE"""),TRUE)</f>
        <v>1</v>
      </c>
      <c r="M59" s="45" t="b">
        <f>IFERROR(__xludf.DUMMYFUNCTION("""COMPUTED_VALUE"""),TRUE)</f>
        <v>1</v>
      </c>
      <c r="N59" s="45" t="b">
        <f>IFERROR(__xludf.DUMMYFUNCTION("""COMPUTED_VALUE"""),TRUE)</f>
        <v>1</v>
      </c>
      <c r="O59" s="45" t="b">
        <f>IFERROR(__xludf.DUMMYFUNCTION("""COMPUTED_VALUE"""),TRUE)</f>
        <v>1</v>
      </c>
      <c r="P59" s="45" t="b">
        <f>IFERROR(__xludf.DUMMYFUNCTION("""COMPUTED_VALUE"""),TRUE)</f>
        <v>1</v>
      </c>
      <c r="Q59" s="45" t="b">
        <f>IFERROR(__xludf.DUMMYFUNCTION("""COMPUTED_VALUE"""),TRUE)</f>
        <v>1</v>
      </c>
      <c r="R59" s="45" t="b">
        <f>IFERROR(__xludf.DUMMYFUNCTION("""COMPUTED_VALUE"""),TRUE)</f>
        <v>1</v>
      </c>
      <c r="S59" s="45"/>
      <c r="T59" s="45" t="b">
        <f>IFERROR(__xludf.DUMMYFUNCTION("""COMPUTED_VALUE"""),TRUE)</f>
        <v>1</v>
      </c>
      <c r="U59" s="45" t="b">
        <f>IFERROR(__xludf.DUMMYFUNCTION("""COMPUTED_VALUE"""),TRUE)</f>
        <v>1</v>
      </c>
      <c r="V59" s="45" t="b">
        <f>IFERROR(__xludf.DUMMYFUNCTION("""COMPUTED_VALUE"""),TRUE)</f>
        <v>1</v>
      </c>
      <c r="W59" s="45" t="b">
        <f>IFERROR(__xludf.DUMMYFUNCTION("""COMPUTED_VALUE"""),TRUE)</f>
        <v>1</v>
      </c>
      <c r="X59" s="45" t="b">
        <f>IFERROR(__xludf.DUMMYFUNCTION("""COMPUTED_VALUE"""),TRUE)</f>
        <v>1</v>
      </c>
      <c r="Y59" s="45" t="b">
        <f>IFERROR(__xludf.DUMMYFUNCTION("""COMPUTED_VALUE"""),TRUE)</f>
        <v>1</v>
      </c>
      <c r="Z59" s="45" t="b">
        <f>IFERROR(__xludf.DUMMYFUNCTION("""COMPUTED_VALUE"""),TRUE)</f>
        <v>1</v>
      </c>
      <c r="AA59" s="45" t="b">
        <f>IFERROR(__xludf.DUMMYFUNCTION("""COMPUTED_VALUE"""),TRUE)</f>
        <v>1</v>
      </c>
      <c r="AB59" s="45" t="b">
        <f>IFERROR(__xludf.DUMMYFUNCTION("""COMPUTED_VALUE"""),TRUE)</f>
        <v>1</v>
      </c>
      <c r="AC59" s="45" t="b">
        <f>IFERROR(__xludf.DUMMYFUNCTION("""COMPUTED_VALUE"""),TRUE)</f>
        <v>1</v>
      </c>
      <c r="AD59" s="45" t="b">
        <f>IFERROR(__xludf.DUMMYFUNCTION("""COMPUTED_VALUE"""),TRUE)</f>
        <v>1</v>
      </c>
      <c r="AE59" s="45" t="b">
        <f>IFERROR(__xludf.DUMMYFUNCTION("""COMPUTED_VALUE"""),TRUE)</f>
        <v>1</v>
      </c>
    </row>
    <row r="60">
      <c r="A60" s="6" t="b">
        <v>0</v>
      </c>
      <c r="B60" s="45" t="str">
        <f>IFERROR(__xludf.DUMMYFUNCTION("""COMPUTED_VALUE"""),"Barred knifejaw")</f>
        <v>Barred knifejaw</v>
      </c>
      <c r="C60" s="45">
        <f>IFERROR(__xludf.DUMMYFUNCTION("""COMPUTED_VALUE"""),5000.0)</f>
        <v>5000</v>
      </c>
      <c r="D60" s="45" t="str">
        <f>IFERROR(__xludf.DUMMYFUNCTION("""COMPUTED_VALUE"""),"All day")</f>
        <v>All day</v>
      </c>
      <c r="E60" s="45" t="str">
        <f>IFERROR(__xludf.DUMMYFUNCTION("""COMPUTED_VALUE"""),"Sea")</f>
        <v>Sea</v>
      </c>
      <c r="F60" s="45" t="str">
        <f>IFERROR(__xludf.DUMMYFUNCTION("""COMPUTED_VALUE"""),"Medium")</f>
        <v>Medium</v>
      </c>
      <c r="G60" s="45" t="b">
        <f>IFERROR(__xludf.DUMMYFUNCTION("""COMPUTED_VALUE"""),FALSE)</f>
        <v>0</v>
      </c>
      <c r="H60" s="45" t="b">
        <f>IFERROR(__xludf.DUMMYFUNCTION("""COMPUTED_VALUE"""),FALSE)</f>
        <v>0</v>
      </c>
      <c r="I60" s="45" t="b">
        <f>IFERROR(__xludf.DUMMYFUNCTION("""COMPUTED_VALUE"""),TRUE)</f>
        <v>1</v>
      </c>
      <c r="J60" s="45" t="b">
        <f>IFERROR(__xludf.DUMMYFUNCTION("""COMPUTED_VALUE"""),TRUE)</f>
        <v>1</v>
      </c>
      <c r="K60" s="45" t="b">
        <f>IFERROR(__xludf.DUMMYFUNCTION("""COMPUTED_VALUE"""),TRUE)</f>
        <v>1</v>
      </c>
      <c r="L60" s="45" t="b">
        <f>IFERROR(__xludf.DUMMYFUNCTION("""COMPUTED_VALUE"""),TRUE)</f>
        <v>1</v>
      </c>
      <c r="M60" s="45" t="b">
        <f>IFERROR(__xludf.DUMMYFUNCTION("""COMPUTED_VALUE"""),TRUE)</f>
        <v>1</v>
      </c>
      <c r="N60" s="45" t="b">
        <f>IFERROR(__xludf.DUMMYFUNCTION("""COMPUTED_VALUE"""),TRUE)</f>
        <v>1</v>
      </c>
      <c r="O60" s="45" t="b">
        <f>IFERROR(__xludf.DUMMYFUNCTION("""COMPUTED_VALUE"""),TRUE)</f>
        <v>1</v>
      </c>
      <c r="P60" s="45" t="b">
        <f>IFERROR(__xludf.DUMMYFUNCTION("""COMPUTED_VALUE"""),TRUE)</f>
        <v>1</v>
      </c>
      <c r="Q60" s="45" t="b">
        <f>IFERROR(__xludf.DUMMYFUNCTION("""COMPUTED_VALUE"""),TRUE)</f>
        <v>1</v>
      </c>
      <c r="R60" s="45" t="b">
        <f>IFERROR(__xludf.DUMMYFUNCTION("""COMPUTED_VALUE"""),FALSE)</f>
        <v>0</v>
      </c>
      <c r="S60" s="45"/>
      <c r="T60" s="45" t="b">
        <f>IFERROR(__xludf.DUMMYFUNCTION("""COMPUTED_VALUE"""),TRUE)</f>
        <v>1</v>
      </c>
      <c r="U60" s="45" t="b">
        <f>IFERROR(__xludf.DUMMYFUNCTION("""COMPUTED_VALUE"""),TRUE)</f>
        <v>1</v>
      </c>
      <c r="V60" s="45" t="b">
        <f>IFERROR(__xludf.DUMMYFUNCTION("""COMPUTED_VALUE"""),TRUE)</f>
        <v>1</v>
      </c>
      <c r="W60" s="45" t="b">
        <f>IFERROR(__xludf.DUMMYFUNCTION("""COMPUTED_VALUE"""),TRUE)</f>
        <v>1</v>
      </c>
      <c r="X60" s="45" t="b">
        <f>IFERROR(__xludf.DUMMYFUNCTION("""COMPUTED_VALUE"""),TRUE)</f>
        <v>1</v>
      </c>
      <c r="Y60" s="45" t="b">
        <f>IFERROR(__xludf.DUMMYFUNCTION("""COMPUTED_VALUE"""),FALSE)</f>
        <v>0</v>
      </c>
      <c r="Z60" s="45" t="b">
        <f>IFERROR(__xludf.DUMMYFUNCTION("""COMPUTED_VALUE"""),FALSE)</f>
        <v>0</v>
      </c>
      <c r="AA60" s="45" t="b">
        <f>IFERROR(__xludf.DUMMYFUNCTION("""COMPUTED_VALUE"""),FALSE)</f>
        <v>0</v>
      </c>
      <c r="AB60" s="45" t="b">
        <f>IFERROR(__xludf.DUMMYFUNCTION("""COMPUTED_VALUE"""),TRUE)</f>
        <v>1</v>
      </c>
      <c r="AC60" s="45" t="b">
        <f>IFERROR(__xludf.DUMMYFUNCTION("""COMPUTED_VALUE"""),TRUE)</f>
        <v>1</v>
      </c>
      <c r="AD60" s="45" t="b">
        <f>IFERROR(__xludf.DUMMYFUNCTION("""COMPUTED_VALUE"""),TRUE)</f>
        <v>1</v>
      </c>
      <c r="AE60" s="45" t="b">
        <f>IFERROR(__xludf.DUMMYFUNCTION("""COMPUTED_VALUE"""),TRUE)</f>
        <v>1</v>
      </c>
    </row>
    <row r="61">
      <c r="A61" s="6" t="b">
        <v>0</v>
      </c>
      <c r="B61" s="45" t="str">
        <f>IFERROR(__xludf.DUMMYFUNCTION("""COMPUTED_VALUE"""),"Sea bass")</f>
        <v>Sea bass</v>
      </c>
      <c r="C61" s="45">
        <f>IFERROR(__xludf.DUMMYFUNCTION("""COMPUTED_VALUE"""),400.0)</f>
        <v>400</v>
      </c>
      <c r="D61" s="45" t="str">
        <f>IFERROR(__xludf.DUMMYFUNCTION("""COMPUTED_VALUE"""),"All day")</f>
        <v>All day</v>
      </c>
      <c r="E61" s="45" t="str">
        <f>IFERROR(__xludf.DUMMYFUNCTION("""COMPUTED_VALUE"""),"Sea")</f>
        <v>Sea</v>
      </c>
      <c r="F61" s="45" t="str">
        <f>IFERROR(__xludf.DUMMYFUNCTION("""COMPUTED_VALUE"""),"X Large")</f>
        <v>X Large</v>
      </c>
      <c r="G61" s="45" t="b">
        <f>IFERROR(__xludf.DUMMYFUNCTION("""COMPUTED_VALUE"""),TRUE)</f>
        <v>1</v>
      </c>
      <c r="H61" s="45" t="b">
        <f>IFERROR(__xludf.DUMMYFUNCTION("""COMPUTED_VALUE"""),TRUE)</f>
        <v>1</v>
      </c>
      <c r="I61" s="45" t="b">
        <f>IFERROR(__xludf.DUMMYFUNCTION("""COMPUTED_VALUE"""),TRUE)</f>
        <v>1</v>
      </c>
      <c r="J61" s="45" t="b">
        <f>IFERROR(__xludf.DUMMYFUNCTION("""COMPUTED_VALUE"""),TRUE)</f>
        <v>1</v>
      </c>
      <c r="K61" s="45" t="b">
        <f>IFERROR(__xludf.DUMMYFUNCTION("""COMPUTED_VALUE"""),TRUE)</f>
        <v>1</v>
      </c>
      <c r="L61" s="45" t="b">
        <f>IFERROR(__xludf.DUMMYFUNCTION("""COMPUTED_VALUE"""),TRUE)</f>
        <v>1</v>
      </c>
      <c r="M61" s="45" t="b">
        <f>IFERROR(__xludf.DUMMYFUNCTION("""COMPUTED_VALUE"""),TRUE)</f>
        <v>1</v>
      </c>
      <c r="N61" s="45" t="b">
        <f>IFERROR(__xludf.DUMMYFUNCTION("""COMPUTED_VALUE"""),TRUE)</f>
        <v>1</v>
      </c>
      <c r="O61" s="45" t="b">
        <f>IFERROR(__xludf.DUMMYFUNCTION("""COMPUTED_VALUE"""),TRUE)</f>
        <v>1</v>
      </c>
      <c r="P61" s="45" t="b">
        <f>IFERROR(__xludf.DUMMYFUNCTION("""COMPUTED_VALUE"""),TRUE)</f>
        <v>1</v>
      </c>
      <c r="Q61" s="45" t="b">
        <f>IFERROR(__xludf.DUMMYFUNCTION("""COMPUTED_VALUE"""),TRUE)</f>
        <v>1</v>
      </c>
      <c r="R61" s="45" t="b">
        <f>IFERROR(__xludf.DUMMYFUNCTION("""COMPUTED_VALUE"""),TRUE)</f>
        <v>1</v>
      </c>
      <c r="S61" s="45"/>
      <c r="T61" s="45" t="b">
        <f>IFERROR(__xludf.DUMMYFUNCTION("""COMPUTED_VALUE"""),TRUE)</f>
        <v>1</v>
      </c>
      <c r="U61" s="45" t="b">
        <f>IFERROR(__xludf.DUMMYFUNCTION("""COMPUTED_VALUE"""),TRUE)</f>
        <v>1</v>
      </c>
      <c r="V61" s="45" t="b">
        <f>IFERROR(__xludf.DUMMYFUNCTION("""COMPUTED_VALUE"""),TRUE)</f>
        <v>1</v>
      </c>
      <c r="W61" s="45" t="b">
        <f>IFERROR(__xludf.DUMMYFUNCTION("""COMPUTED_VALUE"""),TRUE)</f>
        <v>1</v>
      </c>
      <c r="X61" s="45" t="b">
        <f>IFERROR(__xludf.DUMMYFUNCTION("""COMPUTED_VALUE"""),TRUE)</f>
        <v>1</v>
      </c>
      <c r="Y61" s="45" t="b">
        <f>IFERROR(__xludf.DUMMYFUNCTION("""COMPUTED_VALUE"""),TRUE)</f>
        <v>1</v>
      </c>
      <c r="Z61" s="45" t="b">
        <f>IFERROR(__xludf.DUMMYFUNCTION("""COMPUTED_VALUE"""),TRUE)</f>
        <v>1</v>
      </c>
      <c r="AA61" s="45" t="b">
        <f>IFERROR(__xludf.DUMMYFUNCTION("""COMPUTED_VALUE"""),TRUE)</f>
        <v>1</v>
      </c>
      <c r="AB61" s="45" t="b">
        <f>IFERROR(__xludf.DUMMYFUNCTION("""COMPUTED_VALUE"""),TRUE)</f>
        <v>1</v>
      </c>
      <c r="AC61" s="45" t="b">
        <f>IFERROR(__xludf.DUMMYFUNCTION("""COMPUTED_VALUE"""),TRUE)</f>
        <v>1</v>
      </c>
      <c r="AD61" s="45" t="b">
        <f>IFERROR(__xludf.DUMMYFUNCTION("""COMPUTED_VALUE"""),TRUE)</f>
        <v>1</v>
      </c>
      <c r="AE61" s="45" t="b">
        <f>IFERROR(__xludf.DUMMYFUNCTION("""COMPUTED_VALUE"""),TRUE)</f>
        <v>1</v>
      </c>
    </row>
    <row r="62">
      <c r="A62" s="6" t="b">
        <v>0</v>
      </c>
      <c r="B62" s="45" t="str">
        <f>IFERROR(__xludf.DUMMYFUNCTION("""COMPUTED_VALUE"""),"Red Snapper")</f>
        <v>Red Snapper</v>
      </c>
      <c r="C62" s="45">
        <f>IFERROR(__xludf.DUMMYFUNCTION("""COMPUTED_VALUE"""),3000.0)</f>
        <v>3000</v>
      </c>
      <c r="D62" s="45" t="str">
        <f>IFERROR(__xludf.DUMMYFUNCTION("""COMPUTED_VALUE"""),"All day")</f>
        <v>All day</v>
      </c>
      <c r="E62" s="45" t="str">
        <f>IFERROR(__xludf.DUMMYFUNCTION("""COMPUTED_VALUE"""),"Sea")</f>
        <v>Sea</v>
      </c>
      <c r="F62" s="45" t="str">
        <f>IFERROR(__xludf.DUMMYFUNCTION("""COMPUTED_VALUE"""),"Large")</f>
        <v>Large</v>
      </c>
      <c r="G62" s="45" t="b">
        <f>IFERROR(__xludf.DUMMYFUNCTION("""COMPUTED_VALUE"""),TRUE)</f>
        <v>1</v>
      </c>
      <c r="H62" s="45" t="b">
        <f>IFERROR(__xludf.DUMMYFUNCTION("""COMPUTED_VALUE"""),TRUE)</f>
        <v>1</v>
      </c>
      <c r="I62" s="45" t="b">
        <f>IFERROR(__xludf.DUMMYFUNCTION("""COMPUTED_VALUE"""),TRUE)</f>
        <v>1</v>
      </c>
      <c r="J62" s="45" t="b">
        <f>IFERROR(__xludf.DUMMYFUNCTION("""COMPUTED_VALUE"""),TRUE)</f>
        <v>1</v>
      </c>
      <c r="K62" s="45" t="b">
        <f>IFERROR(__xludf.DUMMYFUNCTION("""COMPUTED_VALUE"""),TRUE)</f>
        <v>1</v>
      </c>
      <c r="L62" s="45" t="b">
        <f>IFERROR(__xludf.DUMMYFUNCTION("""COMPUTED_VALUE"""),TRUE)</f>
        <v>1</v>
      </c>
      <c r="M62" s="45" t="b">
        <f>IFERROR(__xludf.DUMMYFUNCTION("""COMPUTED_VALUE"""),TRUE)</f>
        <v>1</v>
      </c>
      <c r="N62" s="45" t="b">
        <f>IFERROR(__xludf.DUMMYFUNCTION("""COMPUTED_VALUE"""),TRUE)</f>
        <v>1</v>
      </c>
      <c r="O62" s="45" t="b">
        <f>IFERROR(__xludf.DUMMYFUNCTION("""COMPUTED_VALUE"""),TRUE)</f>
        <v>1</v>
      </c>
      <c r="P62" s="45" t="b">
        <f>IFERROR(__xludf.DUMMYFUNCTION("""COMPUTED_VALUE"""),TRUE)</f>
        <v>1</v>
      </c>
      <c r="Q62" s="45" t="b">
        <f>IFERROR(__xludf.DUMMYFUNCTION("""COMPUTED_VALUE"""),TRUE)</f>
        <v>1</v>
      </c>
      <c r="R62" s="45" t="b">
        <f>IFERROR(__xludf.DUMMYFUNCTION("""COMPUTED_VALUE"""),TRUE)</f>
        <v>1</v>
      </c>
      <c r="S62" s="45"/>
      <c r="T62" s="45" t="b">
        <f>IFERROR(__xludf.DUMMYFUNCTION("""COMPUTED_VALUE"""),TRUE)</f>
        <v>1</v>
      </c>
      <c r="U62" s="45" t="b">
        <f>IFERROR(__xludf.DUMMYFUNCTION("""COMPUTED_VALUE"""),TRUE)</f>
        <v>1</v>
      </c>
      <c r="V62" s="45" t="b">
        <f>IFERROR(__xludf.DUMMYFUNCTION("""COMPUTED_VALUE"""),TRUE)</f>
        <v>1</v>
      </c>
      <c r="W62" s="45" t="b">
        <f>IFERROR(__xludf.DUMMYFUNCTION("""COMPUTED_VALUE"""),TRUE)</f>
        <v>1</v>
      </c>
      <c r="X62" s="45" t="b">
        <f>IFERROR(__xludf.DUMMYFUNCTION("""COMPUTED_VALUE"""),TRUE)</f>
        <v>1</v>
      </c>
      <c r="Y62" s="45" t="b">
        <f>IFERROR(__xludf.DUMMYFUNCTION("""COMPUTED_VALUE"""),TRUE)</f>
        <v>1</v>
      </c>
      <c r="Z62" s="45" t="b">
        <f>IFERROR(__xludf.DUMMYFUNCTION("""COMPUTED_VALUE"""),TRUE)</f>
        <v>1</v>
      </c>
      <c r="AA62" s="45" t="b">
        <f>IFERROR(__xludf.DUMMYFUNCTION("""COMPUTED_VALUE"""),TRUE)</f>
        <v>1</v>
      </c>
      <c r="AB62" s="45" t="b">
        <f>IFERROR(__xludf.DUMMYFUNCTION("""COMPUTED_VALUE"""),TRUE)</f>
        <v>1</v>
      </c>
      <c r="AC62" s="45" t="b">
        <f>IFERROR(__xludf.DUMMYFUNCTION("""COMPUTED_VALUE"""),TRUE)</f>
        <v>1</v>
      </c>
      <c r="AD62" s="45" t="b">
        <f>IFERROR(__xludf.DUMMYFUNCTION("""COMPUTED_VALUE"""),TRUE)</f>
        <v>1</v>
      </c>
      <c r="AE62" s="45" t="b">
        <f>IFERROR(__xludf.DUMMYFUNCTION("""COMPUTED_VALUE"""),TRUE)</f>
        <v>1</v>
      </c>
    </row>
    <row r="63">
      <c r="A63" s="6" t="b">
        <v>0</v>
      </c>
      <c r="B63" s="45" t="str">
        <f>IFERROR(__xludf.DUMMYFUNCTION("""COMPUTED_VALUE"""),"Dab")</f>
        <v>Dab</v>
      </c>
      <c r="C63" s="45">
        <f>IFERROR(__xludf.DUMMYFUNCTION("""COMPUTED_VALUE"""),300.0)</f>
        <v>300</v>
      </c>
      <c r="D63" s="45" t="str">
        <f>IFERROR(__xludf.DUMMYFUNCTION("""COMPUTED_VALUE"""),"All day")</f>
        <v>All day</v>
      </c>
      <c r="E63" s="45" t="str">
        <f>IFERROR(__xludf.DUMMYFUNCTION("""COMPUTED_VALUE"""),"Sea")</f>
        <v>Sea</v>
      </c>
      <c r="F63" s="45" t="str">
        <f>IFERROR(__xludf.DUMMYFUNCTION("""COMPUTED_VALUE"""),"Medium")</f>
        <v>Medium</v>
      </c>
      <c r="G63" s="45" t="b">
        <f>IFERROR(__xludf.DUMMYFUNCTION("""COMPUTED_VALUE"""),TRUE)</f>
        <v>1</v>
      </c>
      <c r="H63" s="45" t="b">
        <f>IFERROR(__xludf.DUMMYFUNCTION("""COMPUTED_VALUE"""),TRUE)</f>
        <v>1</v>
      </c>
      <c r="I63" s="45" t="b">
        <f>IFERROR(__xludf.DUMMYFUNCTION("""COMPUTED_VALUE"""),TRUE)</f>
        <v>1</v>
      </c>
      <c r="J63" s="45" t="b">
        <f>IFERROR(__xludf.DUMMYFUNCTION("""COMPUTED_VALUE"""),TRUE)</f>
        <v>1</v>
      </c>
      <c r="K63" s="45" t="b">
        <f>IFERROR(__xludf.DUMMYFUNCTION("""COMPUTED_VALUE"""),FALSE)</f>
        <v>0</v>
      </c>
      <c r="L63" s="45" t="b">
        <f>IFERROR(__xludf.DUMMYFUNCTION("""COMPUTED_VALUE"""),FALSE)</f>
        <v>0</v>
      </c>
      <c r="M63" s="45" t="b">
        <f>IFERROR(__xludf.DUMMYFUNCTION("""COMPUTED_VALUE"""),FALSE)</f>
        <v>0</v>
      </c>
      <c r="N63" s="45" t="b">
        <f>IFERROR(__xludf.DUMMYFUNCTION("""COMPUTED_VALUE"""),FALSE)</f>
        <v>0</v>
      </c>
      <c r="O63" s="45" t="b">
        <f>IFERROR(__xludf.DUMMYFUNCTION("""COMPUTED_VALUE"""),FALSE)</f>
        <v>0</v>
      </c>
      <c r="P63" s="45" t="b">
        <f>IFERROR(__xludf.DUMMYFUNCTION("""COMPUTED_VALUE"""),TRUE)</f>
        <v>1</v>
      </c>
      <c r="Q63" s="45" t="b">
        <f>IFERROR(__xludf.DUMMYFUNCTION("""COMPUTED_VALUE"""),TRUE)</f>
        <v>1</v>
      </c>
      <c r="R63" s="45" t="b">
        <f>IFERROR(__xludf.DUMMYFUNCTION("""COMPUTED_VALUE"""),TRUE)</f>
        <v>1</v>
      </c>
      <c r="S63" s="45"/>
      <c r="T63" s="45" t="b">
        <f>IFERROR(__xludf.DUMMYFUNCTION("""COMPUTED_VALUE"""),FALSE)</f>
        <v>0</v>
      </c>
      <c r="U63" s="45" t="b">
        <f>IFERROR(__xludf.DUMMYFUNCTION("""COMPUTED_VALUE"""),FALSE)</f>
        <v>0</v>
      </c>
      <c r="V63" s="45" t="b">
        <f>IFERROR(__xludf.DUMMYFUNCTION("""COMPUTED_VALUE"""),FALSE)</f>
        <v>0</v>
      </c>
      <c r="W63" s="45" t="b">
        <f>IFERROR(__xludf.DUMMYFUNCTION("""COMPUTED_VALUE"""),TRUE)</f>
        <v>1</v>
      </c>
      <c r="X63" s="45" t="b">
        <f>IFERROR(__xludf.DUMMYFUNCTION("""COMPUTED_VALUE"""),TRUE)</f>
        <v>1</v>
      </c>
      <c r="Y63" s="45" t="b">
        <f>IFERROR(__xludf.DUMMYFUNCTION("""COMPUTED_VALUE"""),TRUE)</f>
        <v>1</v>
      </c>
      <c r="Z63" s="45" t="b">
        <f>IFERROR(__xludf.DUMMYFUNCTION("""COMPUTED_VALUE"""),TRUE)</f>
        <v>1</v>
      </c>
      <c r="AA63" s="45" t="b">
        <f>IFERROR(__xludf.DUMMYFUNCTION("""COMPUTED_VALUE"""),TRUE)</f>
        <v>1</v>
      </c>
      <c r="AB63" s="45" t="b">
        <f>IFERROR(__xludf.DUMMYFUNCTION("""COMPUTED_VALUE"""),TRUE)</f>
        <v>1</v>
      </c>
      <c r="AC63" s="45" t="b">
        <f>IFERROR(__xludf.DUMMYFUNCTION("""COMPUTED_VALUE"""),TRUE)</f>
        <v>1</v>
      </c>
      <c r="AD63" s="45" t="b">
        <f>IFERROR(__xludf.DUMMYFUNCTION("""COMPUTED_VALUE"""),FALSE)</f>
        <v>0</v>
      </c>
      <c r="AE63" s="45" t="b">
        <f>IFERROR(__xludf.DUMMYFUNCTION("""COMPUTED_VALUE"""),FALSE)</f>
        <v>0</v>
      </c>
    </row>
    <row r="64">
      <c r="A64" s="6" t="b">
        <v>0</v>
      </c>
      <c r="B64" s="45" t="str">
        <f>IFERROR(__xludf.DUMMYFUNCTION("""COMPUTED_VALUE"""),"Olive flounder")</f>
        <v>Olive flounder</v>
      </c>
      <c r="C64" s="45">
        <f>IFERROR(__xludf.DUMMYFUNCTION("""COMPUTED_VALUE"""),800.0)</f>
        <v>800</v>
      </c>
      <c r="D64" s="45" t="str">
        <f>IFERROR(__xludf.DUMMYFUNCTION("""COMPUTED_VALUE"""),"All day")</f>
        <v>All day</v>
      </c>
      <c r="E64" s="45" t="str">
        <f>IFERROR(__xludf.DUMMYFUNCTION("""COMPUTED_VALUE"""),"Sea")</f>
        <v>Sea</v>
      </c>
      <c r="F64" s="45" t="str">
        <f>IFERROR(__xludf.DUMMYFUNCTION("""COMPUTED_VALUE"""),"Large")</f>
        <v>Large</v>
      </c>
      <c r="G64" s="45" t="b">
        <f>IFERROR(__xludf.DUMMYFUNCTION("""COMPUTED_VALUE"""),TRUE)</f>
        <v>1</v>
      </c>
      <c r="H64" s="45" t="b">
        <f>IFERROR(__xludf.DUMMYFUNCTION("""COMPUTED_VALUE"""),TRUE)</f>
        <v>1</v>
      </c>
      <c r="I64" s="45" t="b">
        <f>IFERROR(__xludf.DUMMYFUNCTION("""COMPUTED_VALUE"""),TRUE)</f>
        <v>1</v>
      </c>
      <c r="J64" s="45" t="b">
        <f>IFERROR(__xludf.DUMMYFUNCTION("""COMPUTED_VALUE"""),TRUE)</f>
        <v>1</v>
      </c>
      <c r="K64" s="45" t="b">
        <f>IFERROR(__xludf.DUMMYFUNCTION("""COMPUTED_VALUE"""),TRUE)</f>
        <v>1</v>
      </c>
      <c r="L64" s="45" t="b">
        <f>IFERROR(__xludf.DUMMYFUNCTION("""COMPUTED_VALUE"""),TRUE)</f>
        <v>1</v>
      </c>
      <c r="M64" s="45" t="b">
        <f>IFERROR(__xludf.DUMMYFUNCTION("""COMPUTED_VALUE"""),TRUE)</f>
        <v>1</v>
      </c>
      <c r="N64" s="45" t="b">
        <f>IFERROR(__xludf.DUMMYFUNCTION("""COMPUTED_VALUE"""),TRUE)</f>
        <v>1</v>
      </c>
      <c r="O64" s="45" t="b">
        <f>IFERROR(__xludf.DUMMYFUNCTION("""COMPUTED_VALUE"""),TRUE)</f>
        <v>1</v>
      </c>
      <c r="P64" s="45" t="b">
        <f>IFERROR(__xludf.DUMMYFUNCTION("""COMPUTED_VALUE"""),TRUE)</f>
        <v>1</v>
      </c>
      <c r="Q64" s="45" t="b">
        <f>IFERROR(__xludf.DUMMYFUNCTION("""COMPUTED_VALUE"""),TRUE)</f>
        <v>1</v>
      </c>
      <c r="R64" s="45" t="b">
        <f>IFERROR(__xludf.DUMMYFUNCTION("""COMPUTED_VALUE"""),TRUE)</f>
        <v>1</v>
      </c>
      <c r="S64" s="45"/>
      <c r="T64" s="45" t="b">
        <f>IFERROR(__xludf.DUMMYFUNCTION("""COMPUTED_VALUE"""),TRUE)</f>
        <v>1</v>
      </c>
      <c r="U64" s="45" t="b">
        <f>IFERROR(__xludf.DUMMYFUNCTION("""COMPUTED_VALUE"""),TRUE)</f>
        <v>1</v>
      </c>
      <c r="V64" s="45" t="b">
        <f>IFERROR(__xludf.DUMMYFUNCTION("""COMPUTED_VALUE"""),TRUE)</f>
        <v>1</v>
      </c>
      <c r="W64" s="45" t="b">
        <f>IFERROR(__xludf.DUMMYFUNCTION("""COMPUTED_VALUE"""),TRUE)</f>
        <v>1</v>
      </c>
      <c r="X64" s="45" t="b">
        <f>IFERROR(__xludf.DUMMYFUNCTION("""COMPUTED_VALUE"""),TRUE)</f>
        <v>1</v>
      </c>
      <c r="Y64" s="45" t="b">
        <f>IFERROR(__xludf.DUMMYFUNCTION("""COMPUTED_VALUE"""),TRUE)</f>
        <v>1</v>
      </c>
      <c r="Z64" s="45" t="b">
        <f>IFERROR(__xludf.DUMMYFUNCTION("""COMPUTED_VALUE"""),TRUE)</f>
        <v>1</v>
      </c>
      <c r="AA64" s="45" t="b">
        <f>IFERROR(__xludf.DUMMYFUNCTION("""COMPUTED_VALUE"""),TRUE)</f>
        <v>1</v>
      </c>
      <c r="AB64" s="45" t="b">
        <f>IFERROR(__xludf.DUMMYFUNCTION("""COMPUTED_VALUE"""),TRUE)</f>
        <v>1</v>
      </c>
      <c r="AC64" s="45" t="b">
        <f>IFERROR(__xludf.DUMMYFUNCTION("""COMPUTED_VALUE"""),TRUE)</f>
        <v>1</v>
      </c>
      <c r="AD64" s="45" t="b">
        <f>IFERROR(__xludf.DUMMYFUNCTION("""COMPUTED_VALUE"""),TRUE)</f>
        <v>1</v>
      </c>
      <c r="AE64" s="45" t="b">
        <f>IFERROR(__xludf.DUMMYFUNCTION("""COMPUTED_VALUE"""),TRUE)</f>
        <v>1</v>
      </c>
    </row>
    <row r="65">
      <c r="A65" s="6" t="b">
        <v>0</v>
      </c>
      <c r="B65" s="45" t="str">
        <f>IFERROR(__xludf.DUMMYFUNCTION("""COMPUTED_VALUE"""),"Squid")</f>
        <v>Squid</v>
      </c>
      <c r="C65" s="45">
        <f>IFERROR(__xludf.DUMMYFUNCTION("""COMPUTED_VALUE"""),500.0)</f>
        <v>500</v>
      </c>
      <c r="D65" s="45" t="str">
        <f>IFERROR(__xludf.DUMMYFUNCTION("""COMPUTED_VALUE"""),"All day")</f>
        <v>All day</v>
      </c>
      <c r="E65" s="45" t="str">
        <f>IFERROR(__xludf.DUMMYFUNCTION("""COMPUTED_VALUE"""),"Sea")</f>
        <v>Sea</v>
      </c>
      <c r="F65" s="45" t="str">
        <f>IFERROR(__xludf.DUMMYFUNCTION("""COMPUTED_VALUE"""),"Medium")</f>
        <v>Medium</v>
      </c>
      <c r="G65" s="45" t="b">
        <f>IFERROR(__xludf.DUMMYFUNCTION("""COMPUTED_VALUE"""),TRUE)</f>
        <v>1</v>
      </c>
      <c r="H65" s="45" t="b">
        <f>IFERROR(__xludf.DUMMYFUNCTION("""COMPUTED_VALUE"""),TRUE)</f>
        <v>1</v>
      </c>
      <c r="I65" s="45" t="b">
        <f>IFERROR(__xludf.DUMMYFUNCTION("""COMPUTED_VALUE"""),TRUE)</f>
        <v>1</v>
      </c>
      <c r="J65" s="45" t="b">
        <f>IFERROR(__xludf.DUMMYFUNCTION("""COMPUTED_VALUE"""),TRUE)</f>
        <v>1</v>
      </c>
      <c r="K65" s="45" t="b">
        <f>IFERROR(__xludf.DUMMYFUNCTION("""COMPUTED_VALUE"""),TRUE)</f>
        <v>1</v>
      </c>
      <c r="L65" s="45" t="b">
        <f>IFERROR(__xludf.DUMMYFUNCTION("""COMPUTED_VALUE"""),TRUE)</f>
        <v>1</v>
      </c>
      <c r="M65" s="45" t="b">
        <f>IFERROR(__xludf.DUMMYFUNCTION("""COMPUTED_VALUE"""),TRUE)</f>
        <v>1</v>
      </c>
      <c r="N65" s="45" t="b">
        <f>IFERROR(__xludf.DUMMYFUNCTION("""COMPUTED_VALUE"""),TRUE)</f>
        <v>1</v>
      </c>
      <c r="O65" s="45" t="b">
        <f>IFERROR(__xludf.DUMMYFUNCTION("""COMPUTED_VALUE"""),FALSE)</f>
        <v>0</v>
      </c>
      <c r="P65" s="45" t="b">
        <f>IFERROR(__xludf.DUMMYFUNCTION("""COMPUTED_VALUE"""),FALSE)</f>
        <v>0</v>
      </c>
      <c r="Q65" s="45" t="b">
        <f>IFERROR(__xludf.DUMMYFUNCTION("""COMPUTED_VALUE"""),FALSE)</f>
        <v>0</v>
      </c>
      <c r="R65" s="45" t="b">
        <f>IFERROR(__xludf.DUMMYFUNCTION("""COMPUTED_VALUE"""),TRUE)</f>
        <v>1</v>
      </c>
      <c r="S65" s="45"/>
      <c r="T65" s="45" t="b">
        <f>IFERROR(__xludf.DUMMYFUNCTION("""COMPUTED_VALUE"""),TRUE)</f>
        <v>1</v>
      </c>
      <c r="U65" s="45" t="b">
        <f>IFERROR(__xludf.DUMMYFUNCTION("""COMPUTED_VALUE"""),TRUE)</f>
        <v>1</v>
      </c>
      <c r="V65" s="45" t="b">
        <f>IFERROR(__xludf.DUMMYFUNCTION("""COMPUTED_VALUE"""),FALSE)</f>
        <v>0</v>
      </c>
      <c r="W65" s="45" t="b">
        <f>IFERROR(__xludf.DUMMYFUNCTION("""COMPUTED_VALUE"""),FALSE)</f>
        <v>0</v>
      </c>
      <c r="X65" s="45" t="b">
        <f>IFERROR(__xludf.DUMMYFUNCTION("""COMPUTED_VALUE"""),FALSE)</f>
        <v>0</v>
      </c>
      <c r="Y65" s="45" t="b">
        <f>IFERROR(__xludf.DUMMYFUNCTION("""COMPUTED_VALUE"""),TRUE)</f>
        <v>1</v>
      </c>
      <c r="Z65" s="45" t="b">
        <f>IFERROR(__xludf.DUMMYFUNCTION("""COMPUTED_VALUE"""),TRUE)</f>
        <v>1</v>
      </c>
      <c r="AA65" s="45" t="b">
        <f>IFERROR(__xludf.DUMMYFUNCTION("""COMPUTED_VALUE"""),TRUE)</f>
        <v>1</v>
      </c>
      <c r="AB65" s="45" t="b">
        <f>IFERROR(__xludf.DUMMYFUNCTION("""COMPUTED_VALUE"""),TRUE)</f>
        <v>1</v>
      </c>
      <c r="AC65" s="45" t="b">
        <f>IFERROR(__xludf.DUMMYFUNCTION("""COMPUTED_VALUE"""),TRUE)</f>
        <v>1</v>
      </c>
      <c r="AD65" s="45" t="b">
        <f>IFERROR(__xludf.DUMMYFUNCTION("""COMPUTED_VALUE"""),TRUE)</f>
        <v>1</v>
      </c>
      <c r="AE65" s="45" t="b">
        <f>IFERROR(__xludf.DUMMYFUNCTION("""COMPUTED_VALUE"""),TRUE)</f>
        <v>1</v>
      </c>
    </row>
    <row r="66">
      <c r="A66" s="6" t="b">
        <v>0</v>
      </c>
      <c r="B66" s="45" t="str">
        <f>IFERROR(__xludf.DUMMYFUNCTION("""COMPUTED_VALUE"""),"Moray eel")</f>
        <v>Moray eel</v>
      </c>
      <c r="C66" s="45">
        <f>IFERROR(__xludf.DUMMYFUNCTION("""COMPUTED_VALUE"""),2000.0)</f>
        <v>2000</v>
      </c>
      <c r="D66" s="45" t="str">
        <f>IFERROR(__xludf.DUMMYFUNCTION("""COMPUTED_VALUE"""),"All day")</f>
        <v>All day</v>
      </c>
      <c r="E66" s="45" t="str">
        <f>IFERROR(__xludf.DUMMYFUNCTION("""COMPUTED_VALUE"""),"Sea")</f>
        <v>Sea</v>
      </c>
      <c r="F66" s="45" t="str">
        <f>IFERROR(__xludf.DUMMYFUNCTION("""COMPUTED_VALUE"""),"Narrow")</f>
        <v>Narrow</v>
      </c>
      <c r="G66" s="45" t="b">
        <f>IFERROR(__xludf.DUMMYFUNCTION("""COMPUTED_VALUE"""),FALSE)</f>
        <v>0</v>
      </c>
      <c r="H66" s="45" t="b">
        <f>IFERROR(__xludf.DUMMYFUNCTION("""COMPUTED_VALUE"""),FALSE)</f>
        <v>0</v>
      </c>
      <c r="I66" s="45" t="b">
        <f>IFERROR(__xludf.DUMMYFUNCTION("""COMPUTED_VALUE"""),FALSE)</f>
        <v>0</v>
      </c>
      <c r="J66" s="45" t="b">
        <f>IFERROR(__xludf.DUMMYFUNCTION("""COMPUTED_VALUE"""),FALSE)</f>
        <v>0</v>
      </c>
      <c r="K66" s="45" t="b">
        <f>IFERROR(__xludf.DUMMYFUNCTION("""COMPUTED_VALUE"""),FALSE)</f>
        <v>0</v>
      </c>
      <c r="L66" s="45" t="b">
        <f>IFERROR(__xludf.DUMMYFUNCTION("""COMPUTED_VALUE"""),FALSE)</f>
        <v>0</v>
      </c>
      <c r="M66" s="45" t="b">
        <f>IFERROR(__xludf.DUMMYFUNCTION("""COMPUTED_VALUE"""),FALSE)</f>
        <v>0</v>
      </c>
      <c r="N66" s="45" t="b">
        <f>IFERROR(__xludf.DUMMYFUNCTION("""COMPUTED_VALUE"""),TRUE)</f>
        <v>1</v>
      </c>
      <c r="O66" s="45" t="b">
        <f>IFERROR(__xludf.DUMMYFUNCTION("""COMPUTED_VALUE"""),TRUE)</f>
        <v>1</v>
      </c>
      <c r="P66" s="45" t="b">
        <f>IFERROR(__xludf.DUMMYFUNCTION("""COMPUTED_VALUE"""),TRUE)</f>
        <v>1</v>
      </c>
      <c r="Q66" s="45" t="b">
        <f>IFERROR(__xludf.DUMMYFUNCTION("""COMPUTED_VALUE"""),FALSE)</f>
        <v>0</v>
      </c>
      <c r="R66" s="45" t="b">
        <f>IFERROR(__xludf.DUMMYFUNCTION("""COMPUTED_VALUE"""),FALSE)</f>
        <v>0</v>
      </c>
      <c r="S66" s="45"/>
      <c r="T66" s="45" t="b">
        <f>IFERROR(__xludf.DUMMYFUNCTION("""COMPUTED_VALUE"""),FALSE)</f>
        <v>0</v>
      </c>
      <c r="U66" s="45" t="b">
        <f>IFERROR(__xludf.DUMMYFUNCTION("""COMPUTED_VALUE"""),TRUE)</f>
        <v>1</v>
      </c>
      <c r="V66" s="45" t="b">
        <f>IFERROR(__xludf.DUMMYFUNCTION("""COMPUTED_VALUE"""),TRUE)</f>
        <v>1</v>
      </c>
      <c r="W66" s="45" t="b">
        <f>IFERROR(__xludf.DUMMYFUNCTION("""COMPUTED_VALUE"""),TRUE)</f>
        <v>1</v>
      </c>
      <c r="X66" s="45" t="b">
        <f>IFERROR(__xludf.DUMMYFUNCTION("""COMPUTED_VALUE"""),FALSE)</f>
        <v>0</v>
      </c>
      <c r="Y66" s="45" t="b">
        <f>IFERROR(__xludf.DUMMYFUNCTION("""COMPUTED_VALUE"""),FALSE)</f>
        <v>0</v>
      </c>
      <c r="Z66" s="45" t="b">
        <f>IFERROR(__xludf.DUMMYFUNCTION("""COMPUTED_VALUE"""),FALSE)</f>
        <v>0</v>
      </c>
      <c r="AA66" s="45" t="b">
        <f>IFERROR(__xludf.DUMMYFUNCTION("""COMPUTED_VALUE"""),FALSE)</f>
        <v>0</v>
      </c>
      <c r="AB66" s="45" t="b">
        <f>IFERROR(__xludf.DUMMYFUNCTION("""COMPUTED_VALUE"""),FALSE)</f>
        <v>0</v>
      </c>
      <c r="AC66" s="45" t="b">
        <f>IFERROR(__xludf.DUMMYFUNCTION("""COMPUTED_VALUE"""),FALSE)</f>
        <v>0</v>
      </c>
      <c r="AD66" s="45" t="b">
        <f>IFERROR(__xludf.DUMMYFUNCTION("""COMPUTED_VALUE"""),FALSE)</f>
        <v>0</v>
      </c>
      <c r="AE66" s="45" t="b">
        <f>IFERROR(__xludf.DUMMYFUNCTION("""COMPUTED_VALUE"""),FALSE)</f>
        <v>0</v>
      </c>
    </row>
    <row r="67">
      <c r="A67" s="6" t="b">
        <v>0</v>
      </c>
      <c r="B67" s="45" t="str">
        <f>IFERROR(__xludf.DUMMYFUNCTION("""COMPUTED_VALUE"""),"Ribbon eel")</f>
        <v>Ribbon eel</v>
      </c>
      <c r="C67" s="45">
        <f>IFERROR(__xludf.DUMMYFUNCTION("""COMPUTED_VALUE"""),600.0)</f>
        <v>600</v>
      </c>
      <c r="D67" s="45" t="str">
        <f>IFERROR(__xludf.DUMMYFUNCTION("""COMPUTED_VALUE"""),"All day")</f>
        <v>All day</v>
      </c>
      <c r="E67" s="45" t="str">
        <f>IFERROR(__xludf.DUMMYFUNCTION("""COMPUTED_VALUE"""),"Sea")</f>
        <v>Sea</v>
      </c>
      <c r="F67" s="45" t="str">
        <f>IFERROR(__xludf.DUMMYFUNCTION("""COMPUTED_VALUE"""),"Narrow")</f>
        <v>Narrow</v>
      </c>
      <c r="G67" s="45" t="b">
        <f>IFERROR(__xludf.DUMMYFUNCTION("""COMPUTED_VALUE"""),FALSE)</f>
        <v>0</v>
      </c>
      <c r="H67" s="45" t="b">
        <f>IFERROR(__xludf.DUMMYFUNCTION("""COMPUTED_VALUE"""),FALSE)</f>
        <v>0</v>
      </c>
      <c r="I67" s="45" t="b">
        <f>IFERROR(__xludf.DUMMYFUNCTION("""COMPUTED_VALUE"""),FALSE)</f>
        <v>0</v>
      </c>
      <c r="J67" s="45" t="b">
        <f>IFERROR(__xludf.DUMMYFUNCTION("""COMPUTED_VALUE"""),FALSE)</f>
        <v>0</v>
      </c>
      <c r="K67" s="45" t="b">
        <f>IFERROR(__xludf.DUMMYFUNCTION("""COMPUTED_VALUE"""),FALSE)</f>
        <v>0</v>
      </c>
      <c r="L67" s="45" t="b">
        <f>IFERROR(__xludf.DUMMYFUNCTION("""COMPUTED_VALUE"""),TRUE)</f>
        <v>1</v>
      </c>
      <c r="M67" s="45" t="b">
        <f>IFERROR(__xludf.DUMMYFUNCTION("""COMPUTED_VALUE"""),TRUE)</f>
        <v>1</v>
      </c>
      <c r="N67" s="45" t="b">
        <f>IFERROR(__xludf.DUMMYFUNCTION("""COMPUTED_VALUE"""),TRUE)</f>
        <v>1</v>
      </c>
      <c r="O67" s="45" t="b">
        <f>IFERROR(__xludf.DUMMYFUNCTION("""COMPUTED_VALUE"""),TRUE)</f>
        <v>1</v>
      </c>
      <c r="P67" s="45" t="b">
        <f>IFERROR(__xludf.DUMMYFUNCTION("""COMPUTED_VALUE"""),TRUE)</f>
        <v>1</v>
      </c>
      <c r="Q67" s="45" t="b">
        <f>IFERROR(__xludf.DUMMYFUNCTION("""COMPUTED_VALUE"""),FALSE)</f>
        <v>0</v>
      </c>
      <c r="R67" s="45" t="b">
        <f>IFERROR(__xludf.DUMMYFUNCTION("""COMPUTED_VALUE"""),FALSE)</f>
        <v>0</v>
      </c>
      <c r="S67" s="45"/>
      <c r="T67" s="45" t="b">
        <f>IFERROR(__xludf.DUMMYFUNCTION("""COMPUTED_VALUE"""),TRUE)</f>
        <v>1</v>
      </c>
      <c r="U67" s="45" t="b">
        <f>IFERROR(__xludf.DUMMYFUNCTION("""COMPUTED_VALUE"""),TRUE)</f>
        <v>1</v>
      </c>
      <c r="V67" s="45" t="b">
        <f>IFERROR(__xludf.DUMMYFUNCTION("""COMPUTED_VALUE"""),TRUE)</f>
        <v>1</v>
      </c>
      <c r="W67" s="45" t="b">
        <f>IFERROR(__xludf.DUMMYFUNCTION("""COMPUTED_VALUE"""),TRUE)</f>
        <v>1</v>
      </c>
      <c r="X67" s="45" t="b">
        <f>IFERROR(__xludf.DUMMYFUNCTION("""COMPUTED_VALUE"""),FALSE)</f>
        <v>0</v>
      </c>
      <c r="Y67" s="45" t="b">
        <f>IFERROR(__xludf.DUMMYFUNCTION("""COMPUTED_VALUE"""),FALSE)</f>
        <v>0</v>
      </c>
      <c r="Z67" s="45" t="b">
        <f>IFERROR(__xludf.DUMMYFUNCTION("""COMPUTED_VALUE"""),FALSE)</f>
        <v>0</v>
      </c>
      <c r="AA67" s="45" t="b">
        <f>IFERROR(__xludf.DUMMYFUNCTION("""COMPUTED_VALUE"""),FALSE)</f>
        <v>0</v>
      </c>
      <c r="AB67" s="45" t="b">
        <f>IFERROR(__xludf.DUMMYFUNCTION("""COMPUTED_VALUE"""),FALSE)</f>
        <v>0</v>
      </c>
      <c r="AC67" s="45" t="b">
        <f>IFERROR(__xludf.DUMMYFUNCTION("""COMPUTED_VALUE"""),FALSE)</f>
        <v>0</v>
      </c>
      <c r="AD67" s="45" t="b">
        <f>IFERROR(__xludf.DUMMYFUNCTION("""COMPUTED_VALUE"""),FALSE)</f>
        <v>0</v>
      </c>
      <c r="AE67" s="45" t="b">
        <f>IFERROR(__xludf.DUMMYFUNCTION("""COMPUTED_VALUE"""),TRUE)</f>
        <v>1</v>
      </c>
    </row>
    <row r="68">
      <c r="A68" s="6" t="b">
        <v>0</v>
      </c>
      <c r="B68" s="45" t="str">
        <f>IFERROR(__xludf.DUMMYFUNCTION("""COMPUTED_VALUE"""),"Tuna")</f>
        <v>Tuna</v>
      </c>
      <c r="C68" s="45">
        <f>IFERROR(__xludf.DUMMYFUNCTION("""COMPUTED_VALUE"""),7000.0)</f>
        <v>7000</v>
      </c>
      <c r="D68" s="45" t="str">
        <f>IFERROR(__xludf.DUMMYFUNCTION("""COMPUTED_VALUE"""),"All day")</f>
        <v>All day</v>
      </c>
      <c r="E68" s="45" t="str">
        <f>IFERROR(__xludf.DUMMYFUNCTION("""COMPUTED_VALUE"""),"Pier")</f>
        <v>Pier</v>
      </c>
      <c r="F68" s="45" t="str">
        <f>IFERROR(__xludf.DUMMYFUNCTION("""COMPUTED_VALUE"""),"Largest")</f>
        <v>Largest</v>
      </c>
      <c r="G68" s="45" t="b">
        <f>IFERROR(__xludf.DUMMYFUNCTION("""COMPUTED_VALUE"""),TRUE)</f>
        <v>1</v>
      </c>
      <c r="H68" s="45" t="b">
        <f>IFERROR(__xludf.DUMMYFUNCTION("""COMPUTED_VALUE"""),TRUE)</f>
        <v>1</v>
      </c>
      <c r="I68" s="45" t="b">
        <f>IFERROR(__xludf.DUMMYFUNCTION("""COMPUTED_VALUE"""),TRUE)</f>
        <v>1</v>
      </c>
      <c r="J68" s="45" t="b">
        <f>IFERROR(__xludf.DUMMYFUNCTION("""COMPUTED_VALUE"""),TRUE)</f>
        <v>1</v>
      </c>
      <c r="K68" s="45" t="b">
        <f>IFERROR(__xludf.DUMMYFUNCTION("""COMPUTED_VALUE"""),FALSE)</f>
        <v>0</v>
      </c>
      <c r="L68" s="45" t="b">
        <f>IFERROR(__xludf.DUMMYFUNCTION("""COMPUTED_VALUE"""),FALSE)</f>
        <v>0</v>
      </c>
      <c r="M68" s="45" t="b">
        <f>IFERROR(__xludf.DUMMYFUNCTION("""COMPUTED_VALUE"""),FALSE)</f>
        <v>0</v>
      </c>
      <c r="N68" s="45" t="b">
        <f>IFERROR(__xludf.DUMMYFUNCTION("""COMPUTED_VALUE"""),FALSE)</f>
        <v>0</v>
      </c>
      <c r="O68" s="45" t="b">
        <f>IFERROR(__xludf.DUMMYFUNCTION("""COMPUTED_VALUE"""),FALSE)</f>
        <v>0</v>
      </c>
      <c r="P68" s="45" t="b">
        <f>IFERROR(__xludf.DUMMYFUNCTION("""COMPUTED_VALUE"""),FALSE)</f>
        <v>0</v>
      </c>
      <c r="Q68" s="45" t="b">
        <f>IFERROR(__xludf.DUMMYFUNCTION("""COMPUTED_VALUE"""),TRUE)</f>
        <v>1</v>
      </c>
      <c r="R68" s="45" t="b">
        <f>IFERROR(__xludf.DUMMYFUNCTION("""COMPUTED_VALUE"""),TRUE)</f>
        <v>1</v>
      </c>
      <c r="S68" s="45"/>
      <c r="T68" s="45" t="b">
        <f>IFERROR(__xludf.DUMMYFUNCTION("""COMPUTED_VALUE"""),FALSE)</f>
        <v>0</v>
      </c>
      <c r="U68" s="45" t="b">
        <f>IFERROR(__xludf.DUMMYFUNCTION("""COMPUTED_VALUE"""),FALSE)</f>
        <v>0</v>
      </c>
      <c r="V68" s="45" t="b">
        <f>IFERROR(__xludf.DUMMYFUNCTION("""COMPUTED_VALUE"""),FALSE)</f>
        <v>0</v>
      </c>
      <c r="W68" s="45" t="b">
        <f>IFERROR(__xludf.DUMMYFUNCTION("""COMPUTED_VALUE"""),FALSE)</f>
        <v>0</v>
      </c>
      <c r="X68" s="45" t="b">
        <f>IFERROR(__xludf.DUMMYFUNCTION("""COMPUTED_VALUE"""),TRUE)</f>
        <v>1</v>
      </c>
      <c r="Y68" s="45" t="b">
        <f>IFERROR(__xludf.DUMMYFUNCTION("""COMPUTED_VALUE"""),TRUE)</f>
        <v>1</v>
      </c>
      <c r="Z68" s="45" t="b">
        <f>IFERROR(__xludf.DUMMYFUNCTION("""COMPUTED_VALUE"""),TRUE)</f>
        <v>1</v>
      </c>
      <c r="AA68" s="45" t="b">
        <f>IFERROR(__xludf.DUMMYFUNCTION("""COMPUTED_VALUE"""),TRUE)</f>
        <v>1</v>
      </c>
      <c r="AB68" s="45" t="b">
        <f>IFERROR(__xludf.DUMMYFUNCTION("""COMPUTED_VALUE"""),TRUE)</f>
        <v>1</v>
      </c>
      <c r="AC68" s="45" t="b">
        <f>IFERROR(__xludf.DUMMYFUNCTION("""COMPUTED_VALUE"""),TRUE)</f>
        <v>1</v>
      </c>
      <c r="AD68" s="45" t="b">
        <f>IFERROR(__xludf.DUMMYFUNCTION("""COMPUTED_VALUE"""),FALSE)</f>
        <v>0</v>
      </c>
      <c r="AE68" s="45" t="b">
        <f>IFERROR(__xludf.DUMMYFUNCTION("""COMPUTED_VALUE"""),FALSE)</f>
        <v>0</v>
      </c>
    </row>
    <row r="69">
      <c r="A69" s="6" t="b">
        <v>0</v>
      </c>
      <c r="B69" s="45" t="str">
        <f>IFERROR(__xludf.DUMMYFUNCTION("""COMPUTED_VALUE"""),"Blue marlin")</f>
        <v>Blue marlin</v>
      </c>
      <c r="C69" s="45">
        <f>IFERROR(__xludf.DUMMYFUNCTION("""COMPUTED_VALUE"""),10000.0)</f>
        <v>10000</v>
      </c>
      <c r="D69" s="45" t="str">
        <f>IFERROR(__xludf.DUMMYFUNCTION("""COMPUTED_VALUE"""),"All day")</f>
        <v>All day</v>
      </c>
      <c r="E69" s="45" t="str">
        <f>IFERROR(__xludf.DUMMYFUNCTION("""COMPUTED_VALUE"""),"Pier")</f>
        <v>Pier</v>
      </c>
      <c r="F69" s="45" t="str">
        <f>IFERROR(__xludf.DUMMYFUNCTION("""COMPUTED_VALUE"""),"Largest")</f>
        <v>Largest</v>
      </c>
      <c r="G69" s="45" t="b">
        <f>IFERROR(__xludf.DUMMYFUNCTION("""COMPUTED_VALUE"""),TRUE)</f>
        <v>1</v>
      </c>
      <c r="H69" s="45" t="b">
        <f>IFERROR(__xludf.DUMMYFUNCTION("""COMPUTED_VALUE"""),TRUE)</f>
        <v>1</v>
      </c>
      <c r="I69" s="45" t="b">
        <f>IFERROR(__xludf.DUMMYFUNCTION("""COMPUTED_VALUE"""),TRUE)</f>
        <v>1</v>
      </c>
      <c r="J69" s="45" t="b">
        <f>IFERROR(__xludf.DUMMYFUNCTION("""COMPUTED_VALUE"""),TRUE)</f>
        <v>1</v>
      </c>
      <c r="K69" s="45" t="b">
        <f>IFERROR(__xludf.DUMMYFUNCTION("""COMPUTED_VALUE"""),FALSE)</f>
        <v>0</v>
      </c>
      <c r="L69" s="45" t="b">
        <f>IFERROR(__xludf.DUMMYFUNCTION("""COMPUTED_VALUE"""),FALSE)</f>
        <v>0</v>
      </c>
      <c r="M69" s="45" t="b">
        <f>IFERROR(__xludf.DUMMYFUNCTION("""COMPUTED_VALUE"""),TRUE)</f>
        <v>1</v>
      </c>
      <c r="N69" s="45" t="b">
        <f>IFERROR(__xludf.DUMMYFUNCTION("""COMPUTED_VALUE"""),TRUE)</f>
        <v>1</v>
      </c>
      <c r="O69" s="45" t="b">
        <f>IFERROR(__xludf.DUMMYFUNCTION("""COMPUTED_VALUE"""),TRUE)</f>
        <v>1</v>
      </c>
      <c r="P69" s="45" t="b">
        <f>IFERROR(__xludf.DUMMYFUNCTION("""COMPUTED_VALUE"""),FALSE)</f>
        <v>0</v>
      </c>
      <c r="Q69" s="45" t="b">
        <f>IFERROR(__xludf.DUMMYFUNCTION("""COMPUTED_VALUE"""),TRUE)</f>
        <v>1</v>
      </c>
      <c r="R69" s="45" t="b">
        <f>IFERROR(__xludf.DUMMYFUNCTION("""COMPUTED_VALUE"""),TRUE)</f>
        <v>1</v>
      </c>
      <c r="S69" s="45"/>
      <c r="T69" s="45" t="b">
        <f>IFERROR(__xludf.DUMMYFUNCTION("""COMPUTED_VALUE"""),TRUE)</f>
        <v>1</v>
      </c>
      <c r="U69" s="45" t="b">
        <f>IFERROR(__xludf.DUMMYFUNCTION("""COMPUTED_VALUE"""),TRUE)</f>
        <v>1</v>
      </c>
      <c r="V69" s="45" t="b">
        <f>IFERROR(__xludf.DUMMYFUNCTION("""COMPUTED_VALUE"""),TRUE)</f>
        <v>1</v>
      </c>
      <c r="W69" s="45" t="b">
        <f>IFERROR(__xludf.DUMMYFUNCTION("""COMPUTED_VALUE"""),FALSE)</f>
        <v>0</v>
      </c>
      <c r="X69" s="45" t="b">
        <f>IFERROR(__xludf.DUMMYFUNCTION("""COMPUTED_VALUE"""),TRUE)</f>
        <v>1</v>
      </c>
      <c r="Y69" s="45" t="b">
        <f>IFERROR(__xludf.DUMMYFUNCTION("""COMPUTED_VALUE"""),TRUE)</f>
        <v>1</v>
      </c>
      <c r="Z69" s="45" t="b">
        <f>IFERROR(__xludf.DUMMYFUNCTION("""COMPUTED_VALUE"""),TRUE)</f>
        <v>1</v>
      </c>
      <c r="AA69" s="45" t="b">
        <f>IFERROR(__xludf.DUMMYFUNCTION("""COMPUTED_VALUE"""),TRUE)</f>
        <v>1</v>
      </c>
      <c r="AB69" s="45" t="b">
        <f>IFERROR(__xludf.DUMMYFUNCTION("""COMPUTED_VALUE"""),TRUE)</f>
        <v>1</v>
      </c>
      <c r="AC69" s="45" t="b">
        <f>IFERROR(__xludf.DUMMYFUNCTION("""COMPUTED_VALUE"""),TRUE)</f>
        <v>1</v>
      </c>
      <c r="AD69" s="45" t="b">
        <f>IFERROR(__xludf.DUMMYFUNCTION("""COMPUTED_VALUE"""),FALSE)</f>
        <v>0</v>
      </c>
      <c r="AE69" s="45" t="b">
        <f>IFERROR(__xludf.DUMMYFUNCTION("""COMPUTED_VALUE"""),FALSE)</f>
        <v>0</v>
      </c>
    </row>
    <row r="70">
      <c r="A70" s="6" t="b">
        <v>0</v>
      </c>
      <c r="B70" s="45" t="str">
        <f>IFERROR(__xludf.DUMMYFUNCTION("""COMPUTED_VALUE"""),"Giant trevally")</f>
        <v>Giant trevally</v>
      </c>
      <c r="C70" s="45">
        <f>IFERROR(__xludf.DUMMYFUNCTION("""COMPUTED_VALUE"""),4500.0)</f>
        <v>4500</v>
      </c>
      <c r="D70" s="45" t="str">
        <f>IFERROR(__xludf.DUMMYFUNCTION("""COMPUTED_VALUE"""),"All day")</f>
        <v>All day</v>
      </c>
      <c r="E70" s="45" t="str">
        <f>IFERROR(__xludf.DUMMYFUNCTION("""COMPUTED_VALUE"""),"Pier")</f>
        <v>Pier</v>
      </c>
      <c r="F70" s="45" t="str">
        <f>IFERROR(__xludf.DUMMYFUNCTION("""COMPUTED_VALUE"""),"Large")</f>
        <v>Large</v>
      </c>
      <c r="G70" s="45" t="b">
        <f>IFERROR(__xludf.DUMMYFUNCTION("""COMPUTED_VALUE"""),FALSE)</f>
        <v>0</v>
      </c>
      <c r="H70" s="45" t="b">
        <f>IFERROR(__xludf.DUMMYFUNCTION("""COMPUTED_VALUE"""),FALSE)</f>
        <v>0</v>
      </c>
      <c r="I70" s="45" t="b">
        <f>IFERROR(__xludf.DUMMYFUNCTION("""COMPUTED_VALUE"""),FALSE)</f>
        <v>0</v>
      </c>
      <c r="J70" s="45" t="b">
        <f>IFERROR(__xludf.DUMMYFUNCTION("""COMPUTED_VALUE"""),FALSE)</f>
        <v>0</v>
      </c>
      <c r="K70" s="45" t="b">
        <f>IFERROR(__xludf.DUMMYFUNCTION("""COMPUTED_VALUE"""),TRUE)</f>
        <v>1</v>
      </c>
      <c r="L70" s="45" t="b">
        <f>IFERROR(__xludf.DUMMYFUNCTION("""COMPUTED_VALUE"""),TRUE)</f>
        <v>1</v>
      </c>
      <c r="M70" s="45" t="b">
        <f>IFERROR(__xludf.DUMMYFUNCTION("""COMPUTED_VALUE"""),TRUE)</f>
        <v>1</v>
      </c>
      <c r="N70" s="45" t="b">
        <f>IFERROR(__xludf.DUMMYFUNCTION("""COMPUTED_VALUE"""),TRUE)</f>
        <v>1</v>
      </c>
      <c r="O70" s="45" t="b">
        <f>IFERROR(__xludf.DUMMYFUNCTION("""COMPUTED_VALUE"""),TRUE)</f>
        <v>1</v>
      </c>
      <c r="P70" s="45" t="b">
        <f>IFERROR(__xludf.DUMMYFUNCTION("""COMPUTED_VALUE"""),TRUE)</f>
        <v>1</v>
      </c>
      <c r="Q70" s="45" t="b">
        <f>IFERROR(__xludf.DUMMYFUNCTION("""COMPUTED_VALUE"""),FALSE)</f>
        <v>0</v>
      </c>
      <c r="R70" s="45" t="b">
        <f>IFERROR(__xludf.DUMMYFUNCTION("""COMPUTED_VALUE"""),FALSE)</f>
        <v>0</v>
      </c>
      <c r="S70" s="45"/>
      <c r="T70" s="45" t="b">
        <f>IFERROR(__xludf.DUMMYFUNCTION("""COMPUTED_VALUE"""),TRUE)</f>
        <v>1</v>
      </c>
      <c r="U70" s="45" t="b">
        <f>IFERROR(__xludf.DUMMYFUNCTION("""COMPUTED_VALUE"""),TRUE)</f>
        <v>1</v>
      </c>
      <c r="V70" s="45" t="b">
        <f>IFERROR(__xludf.DUMMYFUNCTION("""COMPUTED_VALUE"""),TRUE)</f>
        <v>1</v>
      </c>
      <c r="W70" s="45" t="b">
        <f>IFERROR(__xludf.DUMMYFUNCTION("""COMPUTED_VALUE"""),TRUE)</f>
        <v>1</v>
      </c>
      <c r="X70" s="45" t="b">
        <f>IFERROR(__xludf.DUMMYFUNCTION("""COMPUTED_VALUE"""),FALSE)</f>
        <v>0</v>
      </c>
      <c r="Y70" s="45" t="b">
        <f>IFERROR(__xludf.DUMMYFUNCTION("""COMPUTED_VALUE"""),FALSE)</f>
        <v>0</v>
      </c>
      <c r="Z70" s="45" t="b">
        <f>IFERROR(__xludf.DUMMYFUNCTION("""COMPUTED_VALUE"""),FALSE)</f>
        <v>0</v>
      </c>
      <c r="AA70" s="45" t="b">
        <f>IFERROR(__xludf.DUMMYFUNCTION("""COMPUTED_VALUE"""),FALSE)</f>
        <v>0</v>
      </c>
      <c r="AB70" s="45" t="b">
        <f>IFERROR(__xludf.DUMMYFUNCTION("""COMPUTED_VALUE"""),FALSE)</f>
        <v>0</v>
      </c>
      <c r="AC70" s="45" t="b">
        <f>IFERROR(__xludf.DUMMYFUNCTION("""COMPUTED_VALUE"""),FALSE)</f>
        <v>0</v>
      </c>
      <c r="AD70" s="45" t="b">
        <f>IFERROR(__xludf.DUMMYFUNCTION("""COMPUTED_VALUE"""),TRUE)</f>
        <v>1</v>
      </c>
      <c r="AE70" s="45" t="b">
        <f>IFERROR(__xludf.DUMMYFUNCTION("""COMPUTED_VALUE"""),TRUE)</f>
        <v>1</v>
      </c>
    </row>
    <row r="71">
      <c r="A71" s="6" t="b">
        <v>0</v>
      </c>
      <c r="B71" s="45" t="str">
        <f>IFERROR(__xludf.DUMMYFUNCTION("""COMPUTED_VALUE"""),"Mahi-mahi")</f>
        <v>Mahi-mahi</v>
      </c>
      <c r="C71" s="45">
        <f>IFERROR(__xludf.DUMMYFUNCTION("""COMPUTED_VALUE"""),6000.0)</f>
        <v>6000</v>
      </c>
      <c r="D71" s="45" t="str">
        <f>IFERROR(__xludf.DUMMYFUNCTION("""COMPUTED_VALUE"""),"All day")</f>
        <v>All day</v>
      </c>
      <c r="E71" s="45" t="str">
        <f>IFERROR(__xludf.DUMMYFUNCTION("""COMPUTED_VALUE"""),"Pier")</f>
        <v>Pier</v>
      </c>
      <c r="F71" s="45" t="str">
        <f>IFERROR(__xludf.DUMMYFUNCTION("""COMPUTED_VALUE"""),"Large")</f>
        <v>Large</v>
      </c>
      <c r="G71" s="45" t="b">
        <f>IFERROR(__xludf.DUMMYFUNCTION("""COMPUTED_VALUE"""),FALSE)</f>
        <v>0</v>
      </c>
      <c r="H71" s="45" t="b">
        <f>IFERROR(__xludf.DUMMYFUNCTION("""COMPUTED_VALUE"""),FALSE)</f>
        <v>0</v>
      </c>
      <c r="I71" s="45" t="b">
        <f>IFERROR(__xludf.DUMMYFUNCTION("""COMPUTED_VALUE"""),FALSE)</f>
        <v>0</v>
      </c>
      <c r="J71" s="45" t="b">
        <f>IFERROR(__xludf.DUMMYFUNCTION("""COMPUTED_VALUE"""),FALSE)</f>
        <v>0</v>
      </c>
      <c r="K71" s="45" t="b">
        <f>IFERROR(__xludf.DUMMYFUNCTION("""COMPUTED_VALUE"""),TRUE)</f>
        <v>1</v>
      </c>
      <c r="L71" s="45" t="b">
        <f>IFERROR(__xludf.DUMMYFUNCTION("""COMPUTED_VALUE"""),TRUE)</f>
        <v>1</v>
      </c>
      <c r="M71" s="45" t="b">
        <f>IFERROR(__xludf.DUMMYFUNCTION("""COMPUTED_VALUE"""),TRUE)</f>
        <v>1</v>
      </c>
      <c r="N71" s="45" t="b">
        <f>IFERROR(__xludf.DUMMYFUNCTION("""COMPUTED_VALUE"""),TRUE)</f>
        <v>1</v>
      </c>
      <c r="O71" s="45" t="b">
        <f>IFERROR(__xludf.DUMMYFUNCTION("""COMPUTED_VALUE"""),TRUE)</f>
        <v>1</v>
      </c>
      <c r="P71" s="45" t="b">
        <f>IFERROR(__xludf.DUMMYFUNCTION("""COMPUTED_VALUE"""),TRUE)</f>
        <v>1</v>
      </c>
      <c r="Q71" s="45" t="b">
        <f>IFERROR(__xludf.DUMMYFUNCTION("""COMPUTED_VALUE"""),FALSE)</f>
        <v>0</v>
      </c>
      <c r="R71" s="45" t="b">
        <f>IFERROR(__xludf.DUMMYFUNCTION("""COMPUTED_VALUE"""),FALSE)</f>
        <v>0</v>
      </c>
      <c r="S71" s="45"/>
      <c r="T71" s="45" t="b">
        <f>IFERROR(__xludf.DUMMYFUNCTION("""COMPUTED_VALUE"""),TRUE)</f>
        <v>1</v>
      </c>
      <c r="U71" s="45" t="b">
        <f>IFERROR(__xludf.DUMMYFUNCTION("""COMPUTED_VALUE"""),TRUE)</f>
        <v>1</v>
      </c>
      <c r="V71" s="45" t="b">
        <f>IFERROR(__xludf.DUMMYFUNCTION("""COMPUTED_VALUE"""),TRUE)</f>
        <v>1</v>
      </c>
      <c r="W71" s="45" t="b">
        <f>IFERROR(__xludf.DUMMYFUNCTION("""COMPUTED_VALUE"""),TRUE)</f>
        <v>1</v>
      </c>
      <c r="X71" s="45" t="b">
        <f>IFERROR(__xludf.DUMMYFUNCTION("""COMPUTED_VALUE"""),FALSE)</f>
        <v>0</v>
      </c>
      <c r="Y71" s="45" t="b">
        <f>IFERROR(__xludf.DUMMYFUNCTION("""COMPUTED_VALUE"""),FALSE)</f>
        <v>0</v>
      </c>
      <c r="Z71" s="45" t="b">
        <f>IFERROR(__xludf.DUMMYFUNCTION("""COMPUTED_VALUE"""),FALSE)</f>
        <v>0</v>
      </c>
      <c r="AA71" s="45" t="b">
        <f>IFERROR(__xludf.DUMMYFUNCTION("""COMPUTED_VALUE"""),FALSE)</f>
        <v>0</v>
      </c>
      <c r="AB71" s="45" t="b">
        <f>IFERROR(__xludf.DUMMYFUNCTION("""COMPUTED_VALUE"""),FALSE)</f>
        <v>0</v>
      </c>
      <c r="AC71" s="45" t="b">
        <f>IFERROR(__xludf.DUMMYFUNCTION("""COMPUTED_VALUE"""),FALSE)</f>
        <v>0</v>
      </c>
      <c r="AD71" s="45" t="b">
        <f>IFERROR(__xludf.DUMMYFUNCTION("""COMPUTED_VALUE"""),TRUE)</f>
        <v>1</v>
      </c>
      <c r="AE71" s="45" t="b">
        <f>IFERROR(__xludf.DUMMYFUNCTION("""COMPUTED_VALUE"""),TRUE)</f>
        <v>1</v>
      </c>
    </row>
    <row r="72">
      <c r="A72" s="6" t="b">
        <v>0</v>
      </c>
      <c r="B72" s="45" t="str">
        <f>IFERROR(__xludf.DUMMYFUNCTION("""COMPUTED_VALUE"""),"Ocean sunfish")</f>
        <v>Ocean sunfish</v>
      </c>
      <c r="C72" s="45">
        <f>IFERROR(__xludf.DUMMYFUNCTION("""COMPUTED_VALUE"""),4000.0)</f>
        <v>4000</v>
      </c>
      <c r="D72" s="45" t="str">
        <f>IFERROR(__xludf.DUMMYFUNCTION("""COMPUTED_VALUE"""),"4 a.m. - 9 p.m.")</f>
        <v>4 a.m. - 9 p.m.</v>
      </c>
      <c r="E72" s="45" t="str">
        <f>IFERROR(__xludf.DUMMYFUNCTION("""COMPUTED_VALUE"""),"Sea")</f>
        <v>Sea</v>
      </c>
      <c r="F72" s="45" t="str">
        <f>IFERROR(__xludf.DUMMYFUNCTION("""COMPUTED_VALUE"""),"Largest (Fin)")</f>
        <v>Largest (Fin)</v>
      </c>
      <c r="G72" s="45" t="b">
        <f>IFERROR(__xludf.DUMMYFUNCTION("""COMPUTED_VALUE"""),FALSE)</f>
        <v>0</v>
      </c>
      <c r="H72" s="45" t="b">
        <f>IFERROR(__xludf.DUMMYFUNCTION("""COMPUTED_VALUE"""),FALSE)</f>
        <v>0</v>
      </c>
      <c r="I72" s="45" t="b">
        <f>IFERROR(__xludf.DUMMYFUNCTION("""COMPUTED_VALUE"""),FALSE)</f>
        <v>0</v>
      </c>
      <c r="J72" s="45" t="b">
        <f>IFERROR(__xludf.DUMMYFUNCTION("""COMPUTED_VALUE"""),FALSE)</f>
        <v>0</v>
      </c>
      <c r="K72" s="45" t="b">
        <f>IFERROR(__xludf.DUMMYFUNCTION("""COMPUTED_VALUE"""),FALSE)</f>
        <v>0</v>
      </c>
      <c r="L72" s="45" t="b">
        <f>IFERROR(__xludf.DUMMYFUNCTION("""COMPUTED_VALUE"""),FALSE)</f>
        <v>0</v>
      </c>
      <c r="M72" s="45" t="b">
        <f>IFERROR(__xludf.DUMMYFUNCTION("""COMPUTED_VALUE"""),TRUE)</f>
        <v>1</v>
      </c>
      <c r="N72" s="45" t="b">
        <f>IFERROR(__xludf.DUMMYFUNCTION("""COMPUTED_VALUE"""),TRUE)</f>
        <v>1</v>
      </c>
      <c r="O72" s="45" t="b">
        <f>IFERROR(__xludf.DUMMYFUNCTION("""COMPUTED_VALUE"""),TRUE)</f>
        <v>1</v>
      </c>
      <c r="P72" s="45" t="b">
        <f>IFERROR(__xludf.DUMMYFUNCTION("""COMPUTED_VALUE"""),FALSE)</f>
        <v>0</v>
      </c>
      <c r="Q72" s="45" t="b">
        <f>IFERROR(__xludf.DUMMYFUNCTION("""COMPUTED_VALUE"""),FALSE)</f>
        <v>0</v>
      </c>
      <c r="R72" s="45" t="b">
        <f>IFERROR(__xludf.DUMMYFUNCTION("""COMPUTED_VALUE"""),FALSE)</f>
        <v>0</v>
      </c>
      <c r="S72" s="45"/>
      <c r="T72" s="45" t="b">
        <f>IFERROR(__xludf.DUMMYFUNCTION("""COMPUTED_VALUE"""),TRUE)</f>
        <v>1</v>
      </c>
      <c r="U72" s="45" t="b">
        <f>IFERROR(__xludf.DUMMYFUNCTION("""COMPUTED_VALUE"""),TRUE)</f>
        <v>1</v>
      </c>
      <c r="V72" s="45" t="b">
        <f>IFERROR(__xludf.DUMMYFUNCTION("""COMPUTED_VALUE"""),TRUE)</f>
        <v>1</v>
      </c>
      <c r="W72" s="45" t="b">
        <f>IFERROR(__xludf.DUMMYFUNCTION("""COMPUTED_VALUE"""),FALSE)</f>
        <v>0</v>
      </c>
      <c r="X72" s="45" t="b">
        <f>IFERROR(__xludf.DUMMYFUNCTION("""COMPUTED_VALUE"""),FALSE)</f>
        <v>0</v>
      </c>
      <c r="Y72" s="45" t="b">
        <f>IFERROR(__xludf.DUMMYFUNCTION("""COMPUTED_VALUE"""),FALSE)</f>
        <v>0</v>
      </c>
      <c r="Z72" s="45" t="b">
        <f>IFERROR(__xludf.DUMMYFUNCTION("""COMPUTED_VALUE"""),FALSE)</f>
        <v>0</v>
      </c>
      <c r="AA72" s="45" t="b">
        <f>IFERROR(__xludf.DUMMYFUNCTION("""COMPUTED_VALUE"""),FALSE)</f>
        <v>0</v>
      </c>
      <c r="AB72" s="45" t="b">
        <f>IFERROR(__xludf.DUMMYFUNCTION("""COMPUTED_VALUE"""),FALSE)</f>
        <v>0</v>
      </c>
      <c r="AC72" s="45" t="b">
        <f>IFERROR(__xludf.DUMMYFUNCTION("""COMPUTED_VALUE"""),FALSE)</f>
        <v>0</v>
      </c>
      <c r="AD72" s="45" t="b">
        <f>IFERROR(__xludf.DUMMYFUNCTION("""COMPUTED_VALUE"""),FALSE)</f>
        <v>0</v>
      </c>
      <c r="AE72" s="45" t="b">
        <f>IFERROR(__xludf.DUMMYFUNCTION("""COMPUTED_VALUE"""),FALSE)</f>
        <v>0</v>
      </c>
    </row>
    <row r="73">
      <c r="A73" s="6" t="b">
        <v>0</v>
      </c>
      <c r="B73" s="45" t="str">
        <f>IFERROR(__xludf.DUMMYFUNCTION("""COMPUTED_VALUE"""),"Ray")</f>
        <v>Ray</v>
      </c>
      <c r="C73" s="45">
        <f>IFERROR(__xludf.DUMMYFUNCTION("""COMPUTED_VALUE"""),3000.0)</f>
        <v>3000</v>
      </c>
      <c r="D73" s="45" t="str">
        <f>IFERROR(__xludf.DUMMYFUNCTION("""COMPUTED_VALUE"""),"4 a.m. - 9 p.m.")</f>
        <v>4 a.m. - 9 p.m.</v>
      </c>
      <c r="E73" s="45" t="str">
        <f>IFERROR(__xludf.DUMMYFUNCTION("""COMPUTED_VALUE"""),"Sea")</f>
        <v>Sea</v>
      </c>
      <c r="F73" s="45" t="str">
        <f>IFERROR(__xludf.DUMMYFUNCTION("""COMPUTED_VALUE"""),"X Large")</f>
        <v>X Large</v>
      </c>
      <c r="G73" s="45" t="b">
        <f>IFERROR(__xludf.DUMMYFUNCTION("""COMPUTED_VALUE"""),FALSE)</f>
        <v>0</v>
      </c>
      <c r="H73" s="45" t="b">
        <f>IFERROR(__xludf.DUMMYFUNCTION("""COMPUTED_VALUE"""),FALSE)</f>
        <v>0</v>
      </c>
      <c r="I73" s="45" t="b">
        <f>IFERROR(__xludf.DUMMYFUNCTION("""COMPUTED_VALUE"""),FALSE)</f>
        <v>0</v>
      </c>
      <c r="J73" s="45" t="b">
        <f>IFERROR(__xludf.DUMMYFUNCTION("""COMPUTED_VALUE"""),FALSE)</f>
        <v>0</v>
      </c>
      <c r="K73" s="45" t="b">
        <f>IFERROR(__xludf.DUMMYFUNCTION("""COMPUTED_VALUE"""),FALSE)</f>
        <v>0</v>
      </c>
      <c r="L73" s="45" t="b">
        <f>IFERROR(__xludf.DUMMYFUNCTION("""COMPUTED_VALUE"""),FALSE)</f>
        <v>0</v>
      </c>
      <c r="M73" s="45" t="b">
        <f>IFERROR(__xludf.DUMMYFUNCTION("""COMPUTED_VALUE"""),FALSE)</f>
        <v>0</v>
      </c>
      <c r="N73" s="45" t="b">
        <f>IFERROR(__xludf.DUMMYFUNCTION("""COMPUTED_VALUE"""),TRUE)</f>
        <v>1</v>
      </c>
      <c r="O73" s="45" t="b">
        <f>IFERROR(__xludf.DUMMYFUNCTION("""COMPUTED_VALUE"""),TRUE)</f>
        <v>1</v>
      </c>
      <c r="P73" s="45" t="b">
        <f>IFERROR(__xludf.DUMMYFUNCTION("""COMPUTED_VALUE"""),TRUE)</f>
        <v>1</v>
      </c>
      <c r="Q73" s="45" t="b">
        <f>IFERROR(__xludf.DUMMYFUNCTION("""COMPUTED_VALUE"""),TRUE)</f>
        <v>1</v>
      </c>
      <c r="R73" s="45" t="b">
        <f>IFERROR(__xludf.DUMMYFUNCTION("""COMPUTED_VALUE"""),FALSE)</f>
        <v>0</v>
      </c>
      <c r="S73" s="45"/>
      <c r="T73" s="45" t="b">
        <f>IFERROR(__xludf.DUMMYFUNCTION("""COMPUTED_VALUE"""),FALSE)</f>
        <v>0</v>
      </c>
      <c r="U73" s="45" t="b">
        <f>IFERROR(__xludf.DUMMYFUNCTION("""COMPUTED_VALUE"""),TRUE)</f>
        <v>1</v>
      </c>
      <c r="V73" s="45" t="b">
        <f>IFERROR(__xludf.DUMMYFUNCTION("""COMPUTED_VALUE"""),TRUE)</f>
        <v>1</v>
      </c>
      <c r="W73" s="45" t="b">
        <f>IFERROR(__xludf.DUMMYFUNCTION("""COMPUTED_VALUE"""),TRUE)</f>
        <v>1</v>
      </c>
      <c r="X73" s="45" t="b">
        <f>IFERROR(__xludf.DUMMYFUNCTION("""COMPUTED_VALUE"""),TRUE)</f>
        <v>1</v>
      </c>
      <c r="Y73" s="45" t="b">
        <f>IFERROR(__xludf.DUMMYFUNCTION("""COMPUTED_VALUE"""),FALSE)</f>
        <v>0</v>
      </c>
      <c r="Z73" s="45" t="b">
        <f>IFERROR(__xludf.DUMMYFUNCTION("""COMPUTED_VALUE"""),FALSE)</f>
        <v>0</v>
      </c>
      <c r="AA73" s="45" t="b">
        <f>IFERROR(__xludf.DUMMYFUNCTION("""COMPUTED_VALUE"""),FALSE)</f>
        <v>0</v>
      </c>
      <c r="AB73" s="45" t="b">
        <f>IFERROR(__xludf.DUMMYFUNCTION("""COMPUTED_VALUE"""),FALSE)</f>
        <v>0</v>
      </c>
      <c r="AC73" s="45" t="b">
        <f>IFERROR(__xludf.DUMMYFUNCTION("""COMPUTED_VALUE"""),FALSE)</f>
        <v>0</v>
      </c>
      <c r="AD73" s="45" t="b">
        <f>IFERROR(__xludf.DUMMYFUNCTION("""COMPUTED_VALUE"""),FALSE)</f>
        <v>0</v>
      </c>
      <c r="AE73" s="45" t="b">
        <f>IFERROR(__xludf.DUMMYFUNCTION("""COMPUTED_VALUE"""),FALSE)</f>
        <v>0</v>
      </c>
    </row>
    <row r="74">
      <c r="A74" s="6" t="b">
        <v>0</v>
      </c>
      <c r="B74" s="45" t="str">
        <f>IFERROR(__xludf.DUMMYFUNCTION("""COMPUTED_VALUE"""),"Saw Shark")</f>
        <v>Saw Shark</v>
      </c>
      <c r="C74" s="45">
        <f>IFERROR(__xludf.DUMMYFUNCTION("""COMPUTED_VALUE"""),12000.0)</f>
        <v>12000</v>
      </c>
      <c r="D74" s="45" t="str">
        <f>IFERROR(__xludf.DUMMYFUNCTION("""COMPUTED_VALUE"""),"4 p.m. - 9 a.m.")</f>
        <v>4 p.m. - 9 a.m.</v>
      </c>
      <c r="E74" s="45" t="str">
        <f>IFERROR(__xludf.DUMMYFUNCTION("""COMPUTED_VALUE"""),"Sea")</f>
        <v>Sea</v>
      </c>
      <c r="F74" s="45" t="str">
        <f>IFERROR(__xludf.DUMMYFUNCTION("""COMPUTED_VALUE"""),"Largest (Fin)")</f>
        <v>Largest (Fin)</v>
      </c>
      <c r="G74" s="45" t="b">
        <f>IFERROR(__xludf.DUMMYFUNCTION("""COMPUTED_VALUE"""),FALSE)</f>
        <v>0</v>
      </c>
      <c r="H74" s="45" t="b">
        <f>IFERROR(__xludf.DUMMYFUNCTION("""COMPUTED_VALUE"""),FALSE)</f>
        <v>0</v>
      </c>
      <c r="I74" s="45" t="b">
        <f>IFERROR(__xludf.DUMMYFUNCTION("""COMPUTED_VALUE"""),FALSE)</f>
        <v>0</v>
      </c>
      <c r="J74" s="45" t="b">
        <f>IFERROR(__xludf.DUMMYFUNCTION("""COMPUTED_VALUE"""),FALSE)</f>
        <v>0</v>
      </c>
      <c r="K74" s="45" t="b">
        <f>IFERROR(__xludf.DUMMYFUNCTION("""COMPUTED_VALUE"""),FALSE)</f>
        <v>0</v>
      </c>
      <c r="L74" s="45" t="b">
        <f>IFERROR(__xludf.DUMMYFUNCTION("""COMPUTED_VALUE"""),TRUE)</f>
        <v>1</v>
      </c>
      <c r="M74" s="45" t="b">
        <f>IFERROR(__xludf.DUMMYFUNCTION("""COMPUTED_VALUE"""),TRUE)</f>
        <v>1</v>
      </c>
      <c r="N74" s="45" t="b">
        <f>IFERROR(__xludf.DUMMYFUNCTION("""COMPUTED_VALUE"""),TRUE)</f>
        <v>1</v>
      </c>
      <c r="O74" s="45" t="b">
        <f>IFERROR(__xludf.DUMMYFUNCTION("""COMPUTED_VALUE"""),TRUE)</f>
        <v>1</v>
      </c>
      <c r="P74" s="45" t="b">
        <f>IFERROR(__xludf.DUMMYFUNCTION("""COMPUTED_VALUE"""),FALSE)</f>
        <v>0</v>
      </c>
      <c r="Q74" s="45" t="b">
        <f>IFERROR(__xludf.DUMMYFUNCTION("""COMPUTED_VALUE"""),FALSE)</f>
        <v>0</v>
      </c>
      <c r="R74" s="45" t="b">
        <f>IFERROR(__xludf.DUMMYFUNCTION("""COMPUTED_VALUE"""),FALSE)</f>
        <v>0</v>
      </c>
      <c r="S74" s="45"/>
      <c r="T74" s="45" t="b">
        <f>IFERROR(__xludf.DUMMYFUNCTION("""COMPUTED_VALUE"""),TRUE)</f>
        <v>1</v>
      </c>
      <c r="U74" s="45" t="b">
        <f>IFERROR(__xludf.DUMMYFUNCTION("""COMPUTED_VALUE"""),TRUE)</f>
        <v>1</v>
      </c>
      <c r="V74" s="45" t="b">
        <f>IFERROR(__xludf.DUMMYFUNCTION("""COMPUTED_VALUE"""),TRUE)</f>
        <v>1</v>
      </c>
      <c r="W74" s="45" t="b">
        <f>IFERROR(__xludf.DUMMYFUNCTION("""COMPUTED_VALUE"""),FALSE)</f>
        <v>0</v>
      </c>
      <c r="X74" s="45" t="b">
        <f>IFERROR(__xludf.DUMMYFUNCTION("""COMPUTED_VALUE"""),FALSE)</f>
        <v>0</v>
      </c>
      <c r="Y74" s="45" t="b">
        <f>IFERROR(__xludf.DUMMYFUNCTION("""COMPUTED_VALUE"""),FALSE)</f>
        <v>0</v>
      </c>
      <c r="Z74" s="45" t="b">
        <f>IFERROR(__xludf.DUMMYFUNCTION("""COMPUTED_VALUE"""),FALSE)</f>
        <v>0</v>
      </c>
      <c r="AA74" s="45" t="b">
        <f>IFERROR(__xludf.DUMMYFUNCTION("""COMPUTED_VALUE"""),FALSE)</f>
        <v>0</v>
      </c>
      <c r="AB74" s="45" t="b">
        <f>IFERROR(__xludf.DUMMYFUNCTION("""COMPUTED_VALUE"""),FALSE)</f>
        <v>0</v>
      </c>
      <c r="AC74" s="45" t="b">
        <f>IFERROR(__xludf.DUMMYFUNCTION("""COMPUTED_VALUE"""),FALSE)</f>
        <v>0</v>
      </c>
      <c r="AD74" s="45" t="b">
        <f>IFERROR(__xludf.DUMMYFUNCTION("""COMPUTED_VALUE"""),FALSE)</f>
        <v>0</v>
      </c>
      <c r="AE74" s="45" t="b">
        <f>IFERROR(__xludf.DUMMYFUNCTION("""COMPUTED_VALUE"""),TRUE)</f>
        <v>1</v>
      </c>
    </row>
    <row r="75">
      <c r="A75" s="6" t="b">
        <v>0</v>
      </c>
      <c r="B75" s="45" t="str">
        <f>IFERROR(__xludf.DUMMYFUNCTION("""COMPUTED_VALUE"""),"Hammerhead shark")</f>
        <v>Hammerhead shark</v>
      </c>
      <c r="C75" s="45">
        <f>IFERROR(__xludf.DUMMYFUNCTION("""COMPUTED_VALUE"""),8000.0)</f>
        <v>8000</v>
      </c>
      <c r="D75" s="45" t="str">
        <f>IFERROR(__xludf.DUMMYFUNCTION("""COMPUTED_VALUE"""),"4 p.m. - 9 a.m.")</f>
        <v>4 p.m. - 9 a.m.</v>
      </c>
      <c r="E75" s="45" t="str">
        <f>IFERROR(__xludf.DUMMYFUNCTION("""COMPUTED_VALUE"""),"Sea")</f>
        <v>Sea</v>
      </c>
      <c r="F75" s="45" t="str">
        <f>IFERROR(__xludf.DUMMYFUNCTION("""COMPUTED_VALUE"""),"Largest (Fin)")</f>
        <v>Largest (Fin)</v>
      </c>
      <c r="G75" s="45" t="b">
        <f>IFERROR(__xludf.DUMMYFUNCTION("""COMPUTED_VALUE"""),FALSE)</f>
        <v>0</v>
      </c>
      <c r="H75" s="45" t="b">
        <f>IFERROR(__xludf.DUMMYFUNCTION("""COMPUTED_VALUE"""),FALSE)</f>
        <v>0</v>
      </c>
      <c r="I75" s="45" t="b">
        <f>IFERROR(__xludf.DUMMYFUNCTION("""COMPUTED_VALUE"""),FALSE)</f>
        <v>0</v>
      </c>
      <c r="J75" s="45" t="b">
        <f>IFERROR(__xludf.DUMMYFUNCTION("""COMPUTED_VALUE"""),FALSE)</f>
        <v>0</v>
      </c>
      <c r="K75" s="45" t="b">
        <f>IFERROR(__xludf.DUMMYFUNCTION("""COMPUTED_VALUE"""),FALSE)</f>
        <v>0</v>
      </c>
      <c r="L75" s="45" t="b">
        <f>IFERROR(__xludf.DUMMYFUNCTION("""COMPUTED_VALUE"""),TRUE)</f>
        <v>1</v>
      </c>
      <c r="M75" s="45" t="b">
        <f>IFERROR(__xludf.DUMMYFUNCTION("""COMPUTED_VALUE"""),TRUE)</f>
        <v>1</v>
      </c>
      <c r="N75" s="45" t="b">
        <f>IFERROR(__xludf.DUMMYFUNCTION("""COMPUTED_VALUE"""),TRUE)</f>
        <v>1</v>
      </c>
      <c r="O75" s="45" t="b">
        <f>IFERROR(__xludf.DUMMYFUNCTION("""COMPUTED_VALUE"""),TRUE)</f>
        <v>1</v>
      </c>
      <c r="P75" s="45" t="b">
        <f>IFERROR(__xludf.DUMMYFUNCTION("""COMPUTED_VALUE"""),FALSE)</f>
        <v>0</v>
      </c>
      <c r="Q75" s="45" t="b">
        <f>IFERROR(__xludf.DUMMYFUNCTION("""COMPUTED_VALUE"""),FALSE)</f>
        <v>0</v>
      </c>
      <c r="R75" s="45" t="b">
        <f>IFERROR(__xludf.DUMMYFUNCTION("""COMPUTED_VALUE"""),FALSE)</f>
        <v>0</v>
      </c>
      <c r="S75" s="45"/>
      <c r="T75" s="45" t="b">
        <f>IFERROR(__xludf.DUMMYFUNCTION("""COMPUTED_VALUE"""),TRUE)</f>
        <v>1</v>
      </c>
      <c r="U75" s="45" t="b">
        <f>IFERROR(__xludf.DUMMYFUNCTION("""COMPUTED_VALUE"""),TRUE)</f>
        <v>1</v>
      </c>
      <c r="V75" s="45" t="b">
        <f>IFERROR(__xludf.DUMMYFUNCTION("""COMPUTED_VALUE"""),TRUE)</f>
        <v>1</v>
      </c>
      <c r="W75" s="45" t="b">
        <f>IFERROR(__xludf.DUMMYFUNCTION("""COMPUTED_VALUE"""),FALSE)</f>
        <v>0</v>
      </c>
      <c r="X75" s="45" t="b">
        <f>IFERROR(__xludf.DUMMYFUNCTION("""COMPUTED_VALUE"""),FALSE)</f>
        <v>0</v>
      </c>
      <c r="Y75" s="45" t="b">
        <f>IFERROR(__xludf.DUMMYFUNCTION("""COMPUTED_VALUE"""),FALSE)</f>
        <v>0</v>
      </c>
      <c r="Z75" s="45" t="b">
        <f>IFERROR(__xludf.DUMMYFUNCTION("""COMPUTED_VALUE"""),FALSE)</f>
        <v>0</v>
      </c>
      <c r="AA75" s="45" t="b">
        <f>IFERROR(__xludf.DUMMYFUNCTION("""COMPUTED_VALUE"""),FALSE)</f>
        <v>0</v>
      </c>
      <c r="AB75" s="45" t="b">
        <f>IFERROR(__xludf.DUMMYFUNCTION("""COMPUTED_VALUE"""),FALSE)</f>
        <v>0</v>
      </c>
      <c r="AC75" s="45" t="b">
        <f>IFERROR(__xludf.DUMMYFUNCTION("""COMPUTED_VALUE"""),FALSE)</f>
        <v>0</v>
      </c>
      <c r="AD75" s="45" t="b">
        <f>IFERROR(__xludf.DUMMYFUNCTION("""COMPUTED_VALUE"""),FALSE)</f>
        <v>0</v>
      </c>
      <c r="AE75" s="45" t="b">
        <f>IFERROR(__xludf.DUMMYFUNCTION("""COMPUTED_VALUE"""),TRUE)</f>
        <v>1</v>
      </c>
    </row>
    <row r="76">
      <c r="A76" s="6" t="b">
        <v>0</v>
      </c>
      <c r="B76" s="45" t="str">
        <f>IFERROR(__xludf.DUMMYFUNCTION("""COMPUTED_VALUE"""),"Great white shark")</f>
        <v>Great white shark</v>
      </c>
      <c r="C76" s="45">
        <f>IFERROR(__xludf.DUMMYFUNCTION("""COMPUTED_VALUE"""),15000.0)</f>
        <v>15000</v>
      </c>
      <c r="D76" s="45" t="str">
        <f>IFERROR(__xludf.DUMMYFUNCTION("""COMPUTED_VALUE"""),"4 p.m. - 9 a.m.")</f>
        <v>4 p.m. - 9 a.m.</v>
      </c>
      <c r="E76" s="45" t="str">
        <f>IFERROR(__xludf.DUMMYFUNCTION("""COMPUTED_VALUE"""),"Sea")</f>
        <v>Sea</v>
      </c>
      <c r="F76" s="45" t="str">
        <f>IFERROR(__xludf.DUMMYFUNCTION("""COMPUTED_VALUE"""),"Largest (Fin)")</f>
        <v>Largest (Fin)</v>
      </c>
      <c r="G76" s="45" t="b">
        <f>IFERROR(__xludf.DUMMYFUNCTION("""COMPUTED_VALUE"""),FALSE)</f>
        <v>0</v>
      </c>
      <c r="H76" s="45" t="b">
        <f>IFERROR(__xludf.DUMMYFUNCTION("""COMPUTED_VALUE"""),FALSE)</f>
        <v>0</v>
      </c>
      <c r="I76" s="45" t="b">
        <f>IFERROR(__xludf.DUMMYFUNCTION("""COMPUTED_VALUE"""),FALSE)</f>
        <v>0</v>
      </c>
      <c r="J76" s="45" t="b">
        <f>IFERROR(__xludf.DUMMYFUNCTION("""COMPUTED_VALUE"""),FALSE)</f>
        <v>0</v>
      </c>
      <c r="K76" s="45" t="b">
        <f>IFERROR(__xludf.DUMMYFUNCTION("""COMPUTED_VALUE"""),FALSE)</f>
        <v>0</v>
      </c>
      <c r="L76" s="45" t="b">
        <f>IFERROR(__xludf.DUMMYFUNCTION("""COMPUTED_VALUE"""),TRUE)</f>
        <v>1</v>
      </c>
      <c r="M76" s="45" t="b">
        <f>IFERROR(__xludf.DUMMYFUNCTION("""COMPUTED_VALUE"""),TRUE)</f>
        <v>1</v>
      </c>
      <c r="N76" s="45" t="b">
        <f>IFERROR(__xludf.DUMMYFUNCTION("""COMPUTED_VALUE"""),TRUE)</f>
        <v>1</v>
      </c>
      <c r="O76" s="45" t="b">
        <f>IFERROR(__xludf.DUMMYFUNCTION("""COMPUTED_VALUE"""),TRUE)</f>
        <v>1</v>
      </c>
      <c r="P76" s="45" t="b">
        <f>IFERROR(__xludf.DUMMYFUNCTION("""COMPUTED_VALUE"""),FALSE)</f>
        <v>0</v>
      </c>
      <c r="Q76" s="45" t="b">
        <f>IFERROR(__xludf.DUMMYFUNCTION("""COMPUTED_VALUE"""),FALSE)</f>
        <v>0</v>
      </c>
      <c r="R76" s="45" t="b">
        <f>IFERROR(__xludf.DUMMYFUNCTION("""COMPUTED_VALUE"""),FALSE)</f>
        <v>0</v>
      </c>
      <c r="S76" s="45"/>
      <c r="T76" s="45" t="b">
        <f>IFERROR(__xludf.DUMMYFUNCTION("""COMPUTED_VALUE"""),TRUE)</f>
        <v>1</v>
      </c>
      <c r="U76" s="45" t="b">
        <f>IFERROR(__xludf.DUMMYFUNCTION("""COMPUTED_VALUE"""),TRUE)</f>
        <v>1</v>
      </c>
      <c r="V76" s="45" t="b">
        <f>IFERROR(__xludf.DUMMYFUNCTION("""COMPUTED_VALUE"""),TRUE)</f>
        <v>1</v>
      </c>
      <c r="W76" s="45" t="b">
        <f>IFERROR(__xludf.DUMMYFUNCTION("""COMPUTED_VALUE"""),FALSE)</f>
        <v>0</v>
      </c>
      <c r="X76" s="45" t="b">
        <f>IFERROR(__xludf.DUMMYFUNCTION("""COMPUTED_VALUE"""),FALSE)</f>
        <v>0</v>
      </c>
      <c r="Y76" s="45" t="b">
        <f>IFERROR(__xludf.DUMMYFUNCTION("""COMPUTED_VALUE"""),FALSE)</f>
        <v>0</v>
      </c>
      <c r="Z76" s="45" t="b">
        <f>IFERROR(__xludf.DUMMYFUNCTION("""COMPUTED_VALUE"""),FALSE)</f>
        <v>0</v>
      </c>
      <c r="AA76" s="45" t="b">
        <f>IFERROR(__xludf.DUMMYFUNCTION("""COMPUTED_VALUE"""),FALSE)</f>
        <v>0</v>
      </c>
      <c r="AB76" s="45" t="b">
        <f>IFERROR(__xludf.DUMMYFUNCTION("""COMPUTED_VALUE"""),FALSE)</f>
        <v>0</v>
      </c>
      <c r="AC76" s="45" t="b">
        <f>IFERROR(__xludf.DUMMYFUNCTION("""COMPUTED_VALUE"""),FALSE)</f>
        <v>0</v>
      </c>
      <c r="AD76" s="45" t="b">
        <f>IFERROR(__xludf.DUMMYFUNCTION("""COMPUTED_VALUE"""),FALSE)</f>
        <v>0</v>
      </c>
      <c r="AE76" s="45" t="b">
        <f>IFERROR(__xludf.DUMMYFUNCTION("""COMPUTED_VALUE"""),TRUE)</f>
        <v>1</v>
      </c>
    </row>
    <row r="77">
      <c r="A77" s="6" t="b">
        <v>0</v>
      </c>
      <c r="B77" s="45" t="str">
        <f>IFERROR(__xludf.DUMMYFUNCTION("""COMPUTED_VALUE"""),"Whale shark")</f>
        <v>Whale shark</v>
      </c>
      <c r="C77" s="45">
        <f>IFERROR(__xludf.DUMMYFUNCTION("""COMPUTED_VALUE"""),13000.0)</f>
        <v>13000</v>
      </c>
      <c r="D77" s="45" t="str">
        <f>IFERROR(__xludf.DUMMYFUNCTION("""COMPUTED_VALUE"""),"All day")</f>
        <v>All day</v>
      </c>
      <c r="E77" s="45" t="str">
        <f>IFERROR(__xludf.DUMMYFUNCTION("""COMPUTED_VALUE"""),"Sea")</f>
        <v>Sea</v>
      </c>
      <c r="F77" s="45" t="str">
        <f>IFERROR(__xludf.DUMMYFUNCTION("""COMPUTED_VALUE"""),"Largest (Fin)")</f>
        <v>Largest (Fin)</v>
      </c>
      <c r="G77" s="45" t="b">
        <f>IFERROR(__xludf.DUMMYFUNCTION("""COMPUTED_VALUE"""),FALSE)</f>
        <v>0</v>
      </c>
      <c r="H77" s="45" t="b">
        <f>IFERROR(__xludf.DUMMYFUNCTION("""COMPUTED_VALUE"""),FALSE)</f>
        <v>0</v>
      </c>
      <c r="I77" s="45" t="b">
        <f>IFERROR(__xludf.DUMMYFUNCTION("""COMPUTED_VALUE"""),FALSE)</f>
        <v>0</v>
      </c>
      <c r="J77" s="45" t="b">
        <f>IFERROR(__xludf.DUMMYFUNCTION("""COMPUTED_VALUE"""),FALSE)</f>
        <v>0</v>
      </c>
      <c r="K77" s="45" t="b">
        <f>IFERROR(__xludf.DUMMYFUNCTION("""COMPUTED_VALUE"""),FALSE)</f>
        <v>0</v>
      </c>
      <c r="L77" s="45" t="b">
        <f>IFERROR(__xludf.DUMMYFUNCTION("""COMPUTED_VALUE"""),TRUE)</f>
        <v>1</v>
      </c>
      <c r="M77" s="45" t="b">
        <f>IFERROR(__xludf.DUMMYFUNCTION("""COMPUTED_VALUE"""),TRUE)</f>
        <v>1</v>
      </c>
      <c r="N77" s="45" t="b">
        <f>IFERROR(__xludf.DUMMYFUNCTION("""COMPUTED_VALUE"""),TRUE)</f>
        <v>1</v>
      </c>
      <c r="O77" s="45" t="b">
        <f>IFERROR(__xludf.DUMMYFUNCTION("""COMPUTED_VALUE"""),TRUE)</f>
        <v>1</v>
      </c>
      <c r="P77" s="45" t="b">
        <f>IFERROR(__xludf.DUMMYFUNCTION("""COMPUTED_VALUE"""),FALSE)</f>
        <v>0</v>
      </c>
      <c r="Q77" s="45" t="b">
        <f>IFERROR(__xludf.DUMMYFUNCTION("""COMPUTED_VALUE"""),FALSE)</f>
        <v>0</v>
      </c>
      <c r="R77" s="45" t="b">
        <f>IFERROR(__xludf.DUMMYFUNCTION("""COMPUTED_VALUE"""),FALSE)</f>
        <v>0</v>
      </c>
      <c r="S77" s="45"/>
      <c r="T77" s="45" t="b">
        <f>IFERROR(__xludf.DUMMYFUNCTION("""COMPUTED_VALUE"""),TRUE)</f>
        <v>1</v>
      </c>
      <c r="U77" s="45" t="b">
        <f>IFERROR(__xludf.DUMMYFUNCTION("""COMPUTED_VALUE"""),TRUE)</f>
        <v>1</v>
      </c>
      <c r="V77" s="45" t="b">
        <f>IFERROR(__xludf.DUMMYFUNCTION("""COMPUTED_VALUE"""),TRUE)</f>
        <v>1</v>
      </c>
      <c r="W77" s="45" t="b">
        <f>IFERROR(__xludf.DUMMYFUNCTION("""COMPUTED_VALUE"""),FALSE)</f>
        <v>0</v>
      </c>
      <c r="X77" s="45" t="b">
        <f>IFERROR(__xludf.DUMMYFUNCTION("""COMPUTED_VALUE"""),FALSE)</f>
        <v>0</v>
      </c>
      <c r="Y77" s="45" t="b">
        <f>IFERROR(__xludf.DUMMYFUNCTION("""COMPUTED_VALUE"""),FALSE)</f>
        <v>0</v>
      </c>
      <c r="Z77" s="45" t="b">
        <f>IFERROR(__xludf.DUMMYFUNCTION("""COMPUTED_VALUE"""),FALSE)</f>
        <v>0</v>
      </c>
      <c r="AA77" s="45" t="b">
        <f>IFERROR(__xludf.DUMMYFUNCTION("""COMPUTED_VALUE"""),FALSE)</f>
        <v>0</v>
      </c>
      <c r="AB77" s="45" t="b">
        <f>IFERROR(__xludf.DUMMYFUNCTION("""COMPUTED_VALUE"""),FALSE)</f>
        <v>0</v>
      </c>
      <c r="AC77" s="45" t="b">
        <f>IFERROR(__xludf.DUMMYFUNCTION("""COMPUTED_VALUE"""),FALSE)</f>
        <v>0</v>
      </c>
      <c r="AD77" s="45" t="b">
        <f>IFERROR(__xludf.DUMMYFUNCTION("""COMPUTED_VALUE"""),FALSE)</f>
        <v>0</v>
      </c>
      <c r="AE77" s="45" t="b">
        <f>IFERROR(__xludf.DUMMYFUNCTION("""COMPUTED_VALUE"""),TRUE)</f>
        <v>1</v>
      </c>
    </row>
    <row r="78">
      <c r="A78" s="6" t="b">
        <v>0</v>
      </c>
      <c r="B78" s="45" t="str">
        <f>IFERROR(__xludf.DUMMYFUNCTION("""COMPUTED_VALUE"""),"Suckerfish")</f>
        <v>Suckerfish</v>
      </c>
      <c r="C78" s="45">
        <f>IFERROR(__xludf.DUMMYFUNCTION("""COMPUTED_VALUE"""),1500.0)</f>
        <v>1500</v>
      </c>
      <c r="D78" s="45" t="str">
        <f>IFERROR(__xludf.DUMMYFUNCTION("""COMPUTED_VALUE"""),"All day")</f>
        <v>All day</v>
      </c>
      <c r="E78" s="45" t="str">
        <f>IFERROR(__xludf.DUMMYFUNCTION("""COMPUTED_VALUE"""),"Sea")</f>
        <v>Sea</v>
      </c>
      <c r="F78" s="45" t="str">
        <f>IFERROR(__xludf.DUMMYFUNCTION("""COMPUTED_VALUE"""),"Large (Fin)")</f>
        <v>Large (Fin)</v>
      </c>
      <c r="G78" s="45" t="b">
        <f>IFERROR(__xludf.DUMMYFUNCTION("""COMPUTED_VALUE"""),FALSE)</f>
        <v>0</v>
      </c>
      <c r="H78" s="45" t="b">
        <f>IFERROR(__xludf.DUMMYFUNCTION("""COMPUTED_VALUE"""),FALSE)</f>
        <v>0</v>
      </c>
      <c r="I78" s="45" t="b">
        <f>IFERROR(__xludf.DUMMYFUNCTION("""COMPUTED_VALUE"""),FALSE)</f>
        <v>0</v>
      </c>
      <c r="J78" s="45" t="b">
        <f>IFERROR(__xludf.DUMMYFUNCTION("""COMPUTED_VALUE"""),FALSE)</f>
        <v>0</v>
      </c>
      <c r="K78" s="45" t="b">
        <f>IFERROR(__xludf.DUMMYFUNCTION("""COMPUTED_VALUE"""),FALSE)</f>
        <v>0</v>
      </c>
      <c r="L78" s="45" t="b">
        <f>IFERROR(__xludf.DUMMYFUNCTION("""COMPUTED_VALUE"""),TRUE)</f>
        <v>1</v>
      </c>
      <c r="M78" s="45" t="b">
        <f>IFERROR(__xludf.DUMMYFUNCTION("""COMPUTED_VALUE"""),TRUE)</f>
        <v>1</v>
      </c>
      <c r="N78" s="45" t="b">
        <f>IFERROR(__xludf.DUMMYFUNCTION("""COMPUTED_VALUE"""),TRUE)</f>
        <v>1</v>
      </c>
      <c r="O78" s="45" t="b">
        <f>IFERROR(__xludf.DUMMYFUNCTION("""COMPUTED_VALUE"""),TRUE)</f>
        <v>1</v>
      </c>
      <c r="P78" s="45" t="b">
        <f>IFERROR(__xludf.DUMMYFUNCTION("""COMPUTED_VALUE"""),FALSE)</f>
        <v>0</v>
      </c>
      <c r="Q78" s="45" t="b">
        <f>IFERROR(__xludf.DUMMYFUNCTION("""COMPUTED_VALUE"""),FALSE)</f>
        <v>0</v>
      </c>
      <c r="R78" s="45" t="b">
        <f>IFERROR(__xludf.DUMMYFUNCTION("""COMPUTED_VALUE"""),FALSE)</f>
        <v>0</v>
      </c>
      <c r="S78" s="45"/>
      <c r="T78" s="45" t="b">
        <f>IFERROR(__xludf.DUMMYFUNCTION("""COMPUTED_VALUE"""),TRUE)</f>
        <v>1</v>
      </c>
      <c r="U78" s="45" t="b">
        <f>IFERROR(__xludf.DUMMYFUNCTION("""COMPUTED_VALUE"""),TRUE)</f>
        <v>1</v>
      </c>
      <c r="V78" s="45" t="b">
        <f>IFERROR(__xludf.DUMMYFUNCTION("""COMPUTED_VALUE"""),TRUE)</f>
        <v>1</v>
      </c>
      <c r="W78" s="45" t="b">
        <f>IFERROR(__xludf.DUMMYFUNCTION("""COMPUTED_VALUE"""),FALSE)</f>
        <v>0</v>
      </c>
      <c r="X78" s="45" t="b">
        <f>IFERROR(__xludf.DUMMYFUNCTION("""COMPUTED_VALUE"""),FALSE)</f>
        <v>0</v>
      </c>
      <c r="Y78" s="45" t="b">
        <f>IFERROR(__xludf.DUMMYFUNCTION("""COMPUTED_VALUE"""),FALSE)</f>
        <v>0</v>
      </c>
      <c r="Z78" s="45" t="b">
        <f>IFERROR(__xludf.DUMMYFUNCTION("""COMPUTED_VALUE"""),FALSE)</f>
        <v>0</v>
      </c>
      <c r="AA78" s="45" t="b">
        <f>IFERROR(__xludf.DUMMYFUNCTION("""COMPUTED_VALUE"""),FALSE)</f>
        <v>0</v>
      </c>
      <c r="AB78" s="45" t="b">
        <f>IFERROR(__xludf.DUMMYFUNCTION("""COMPUTED_VALUE"""),FALSE)</f>
        <v>0</v>
      </c>
      <c r="AC78" s="45" t="b">
        <f>IFERROR(__xludf.DUMMYFUNCTION("""COMPUTED_VALUE"""),FALSE)</f>
        <v>0</v>
      </c>
      <c r="AD78" s="45" t="b">
        <f>IFERROR(__xludf.DUMMYFUNCTION("""COMPUTED_VALUE"""),FALSE)</f>
        <v>0</v>
      </c>
      <c r="AE78" s="45" t="b">
        <f>IFERROR(__xludf.DUMMYFUNCTION("""COMPUTED_VALUE"""),TRUE)</f>
        <v>1</v>
      </c>
    </row>
    <row r="79">
      <c r="A79" s="6" t="b">
        <v>0</v>
      </c>
      <c r="B79" s="45" t="str">
        <f>IFERROR(__xludf.DUMMYFUNCTION("""COMPUTED_VALUE"""),"Football fish")</f>
        <v>Football fish</v>
      </c>
      <c r="C79" s="45">
        <f>IFERROR(__xludf.DUMMYFUNCTION("""COMPUTED_VALUE"""),2500.0)</f>
        <v>2500</v>
      </c>
      <c r="D79" s="45" t="str">
        <f>IFERROR(__xludf.DUMMYFUNCTION("""COMPUTED_VALUE"""),"4 p.m. - 9 a.m.")</f>
        <v>4 p.m. - 9 a.m.</v>
      </c>
      <c r="E79" s="45" t="str">
        <f>IFERROR(__xludf.DUMMYFUNCTION("""COMPUTED_VALUE"""),"Sea")</f>
        <v>Sea</v>
      </c>
      <c r="F79" s="45" t="str">
        <f>IFERROR(__xludf.DUMMYFUNCTION("""COMPUTED_VALUE"""),"Large")</f>
        <v>Large</v>
      </c>
      <c r="G79" s="45" t="b">
        <f>IFERROR(__xludf.DUMMYFUNCTION("""COMPUTED_VALUE"""),TRUE)</f>
        <v>1</v>
      </c>
      <c r="H79" s="45" t="b">
        <f>IFERROR(__xludf.DUMMYFUNCTION("""COMPUTED_VALUE"""),TRUE)</f>
        <v>1</v>
      </c>
      <c r="I79" s="45" t="b">
        <f>IFERROR(__xludf.DUMMYFUNCTION("""COMPUTED_VALUE"""),TRUE)</f>
        <v>1</v>
      </c>
      <c r="J79" s="45" t="b">
        <f>IFERROR(__xludf.DUMMYFUNCTION("""COMPUTED_VALUE"""),FALSE)</f>
        <v>0</v>
      </c>
      <c r="K79" s="45" t="b">
        <f>IFERROR(__xludf.DUMMYFUNCTION("""COMPUTED_VALUE"""),FALSE)</f>
        <v>0</v>
      </c>
      <c r="L79" s="45" t="b">
        <f>IFERROR(__xludf.DUMMYFUNCTION("""COMPUTED_VALUE"""),FALSE)</f>
        <v>0</v>
      </c>
      <c r="M79" s="45" t="b">
        <f>IFERROR(__xludf.DUMMYFUNCTION("""COMPUTED_VALUE"""),FALSE)</f>
        <v>0</v>
      </c>
      <c r="N79" s="45" t="b">
        <f>IFERROR(__xludf.DUMMYFUNCTION("""COMPUTED_VALUE"""),FALSE)</f>
        <v>0</v>
      </c>
      <c r="O79" s="45" t="b">
        <f>IFERROR(__xludf.DUMMYFUNCTION("""COMPUTED_VALUE"""),FALSE)</f>
        <v>0</v>
      </c>
      <c r="P79" s="45" t="b">
        <f>IFERROR(__xludf.DUMMYFUNCTION("""COMPUTED_VALUE"""),FALSE)</f>
        <v>0</v>
      </c>
      <c r="Q79" s="45" t="b">
        <f>IFERROR(__xludf.DUMMYFUNCTION("""COMPUTED_VALUE"""),TRUE)</f>
        <v>1</v>
      </c>
      <c r="R79" s="45" t="b">
        <f>IFERROR(__xludf.DUMMYFUNCTION("""COMPUTED_VALUE"""),TRUE)</f>
        <v>1</v>
      </c>
      <c r="S79" s="45"/>
      <c r="T79" s="45" t="b">
        <f>IFERROR(__xludf.DUMMYFUNCTION("""COMPUTED_VALUE"""),FALSE)</f>
        <v>0</v>
      </c>
      <c r="U79" s="45" t="b">
        <f>IFERROR(__xludf.DUMMYFUNCTION("""COMPUTED_VALUE"""),FALSE)</f>
        <v>0</v>
      </c>
      <c r="V79" s="45" t="b">
        <f>IFERROR(__xludf.DUMMYFUNCTION("""COMPUTED_VALUE"""),FALSE)</f>
        <v>0</v>
      </c>
      <c r="W79" s="45" t="b">
        <f>IFERROR(__xludf.DUMMYFUNCTION("""COMPUTED_VALUE"""),FALSE)</f>
        <v>0</v>
      </c>
      <c r="X79" s="45" t="b">
        <f>IFERROR(__xludf.DUMMYFUNCTION("""COMPUTED_VALUE"""),TRUE)</f>
        <v>1</v>
      </c>
      <c r="Y79" s="45" t="b">
        <f>IFERROR(__xludf.DUMMYFUNCTION("""COMPUTED_VALUE"""),TRUE)</f>
        <v>1</v>
      </c>
      <c r="Z79" s="45" t="b">
        <f>IFERROR(__xludf.DUMMYFUNCTION("""COMPUTED_VALUE"""),TRUE)</f>
        <v>1</v>
      </c>
      <c r="AA79" s="45" t="b">
        <f>IFERROR(__xludf.DUMMYFUNCTION("""COMPUTED_VALUE"""),TRUE)</f>
        <v>1</v>
      </c>
      <c r="AB79" s="45" t="b">
        <f>IFERROR(__xludf.DUMMYFUNCTION("""COMPUTED_VALUE"""),TRUE)</f>
        <v>1</v>
      </c>
      <c r="AC79" s="45" t="b">
        <f>IFERROR(__xludf.DUMMYFUNCTION("""COMPUTED_VALUE"""),FALSE)</f>
        <v>0</v>
      </c>
      <c r="AD79" s="45" t="b">
        <f>IFERROR(__xludf.DUMMYFUNCTION("""COMPUTED_VALUE"""),FALSE)</f>
        <v>0</v>
      </c>
      <c r="AE79" s="45" t="b">
        <f>IFERROR(__xludf.DUMMYFUNCTION("""COMPUTED_VALUE"""),FALSE)</f>
        <v>0</v>
      </c>
    </row>
    <row r="80">
      <c r="A80" s="6" t="b">
        <v>0</v>
      </c>
      <c r="B80" s="45" t="str">
        <f>IFERROR(__xludf.DUMMYFUNCTION("""COMPUTED_VALUE"""),"Oarfish")</f>
        <v>Oarfish</v>
      </c>
      <c r="C80" s="45">
        <f>IFERROR(__xludf.DUMMYFUNCTION("""COMPUTED_VALUE"""),9000.0)</f>
        <v>9000</v>
      </c>
      <c r="D80" s="45" t="str">
        <f>IFERROR(__xludf.DUMMYFUNCTION("""COMPUTED_VALUE"""),"All day")</f>
        <v>All day</v>
      </c>
      <c r="E80" s="45" t="str">
        <f>IFERROR(__xludf.DUMMYFUNCTION("""COMPUTED_VALUE"""),"Sea")</f>
        <v>Sea</v>
      </c>
      <c r="F80" s="45" t="str">
        <f>IFERROR(__xludf.DUMMYFUNCTION("""COMPUTED_VALUE"""),"Largest")</f>
        <v>Largest</v>
      </c>
      <c r="G80" s="45" t="b">
        <f>IFERROR(__xludf.DUMMYFUNCTION("""COMPUTED_VALUE"""),TRUE)</f>
        <v>1</v>
      </c>
      <c r="H80" s="45" t="b">
        <f>IFERROR(__xludf.DUMMYFUNCTION("""COMPUTED_VALUE"""),TRUE)</f>
        <v>1</v>
      </c>
      <c r="I80" s="45" t="b">
        <f>IFERROR(__xludf.DUMMYFUNCTION("""COMPUTED_VALUE"""),TRUE)</f>
        <v>1</v>
      </c>
      <c r="J80" s="45" t="b">
        <f>IFERROR(__xludf.DUMMYFUNCTION("""COMPUTED_VALUE"""),TRUE)</f>
        <v>1</v>
      </c>
      <c r="K80" s="45" t="b">
        <f>IFERROR(__xludf.DUMMYFUNCTION("""COMPUTED_VALUE"""),TRUE)</f>
        <v>1</v>
      </c>
      <c r="L80" s="45" t="b">
        <f>IFERROR(__xludf.DUMMYFUNCTION("""COMPUTED_VALUE"""),FALSE)</f>
        <v>0</v>
      </c>
      <c r="M80" s="45" t="b">
        <f>IFERROR(__xludf.DUMMYFUNCTION("""COMPUTED_VALUE"""),FALSE)</f>
        <v>0</v>
      </c>
      <c r="N80" s="45" t="b">
        <f>IFERROR(__xludf.DUMMYFUNCTION("""COMPUTED_VALUE"""),FALSE)</f>
        <v>0</v>
      </c>
      <c r="O80" s="45" t="b">
        <f>IFERROR(__xludf.DUMMYFUNCTION("""COMPUTED_VALUE"""),FALSE)</f>
        <v>0</v>
      </c>
      <c r="P80" s="45" t="b">
        <f>IFERROR(__xludf.DUMMYFUNCTION("""COMPUTED_VALUE"""),FALSE)</f>
        <v>0</v>
      </c>
      <c r="Q80" s="45" t="b">
        <f>IFERROR(__xludf.DUMMYFUNCTION("""COMPUTED_VALUE"""),FALSE)</f>
        <v>0</v>
      </c>
      <c r="R80" s="45" t="b">
        <f>IFERROR(__xludf.DUMMYFUNCTION("""COMPUTED_VALUE"""),TRUE)</f>
        <v>1</v>
      </c>
      <c r="S80" s="45"/>
      <c r="T80" s="45" t="b">
        <f>IFERROR(__xludf.DUMMYFUNCTION("""COMPUTED_VALUE"""),FALSE)</f>
        <v>0</v>
      </c>
      <c r="U80" s="45" t="b">
        <f>IFERROR(__xludf.DUMMYFUNCTION("""COMPUTED_VALUE"""),FALSE)</f>
        <v>0</v>
      </c>
      <c r="V80" s="45" t="b">
        <f>IFERROR(__xludf.DUMMYFUNCTION("""COMPUTED_VALUE"""),FALSE)</f>
        <v>0</v>
      </c>
      <c r="W80" s="45" t="b">
        <f>IFERROR(__xludf.DUMMYFUNCTION("""COMPUTED_VALUE"""),FALSE)</f>
        <v>0</v>
      </c>
      <c r="X80" s="45" t="b">
        <f>IFERROR(__xludf.DUMMYFUNCTION("""COMPUTED_VALUE"""),FALSE)</f>
        <v>0</v>
      </c>
      <c r="Y80" s="45" t="b">
        <f>IFERROR(__xludf.DUMMYFUNCTION("""COMPUTED_VALUE"""),TRUE)</f>
        <v>1</v>
      </c>
      <c r="Z80" s="45" t="b">
        <f>IFERROR(__xludf.DUMMYFUNCTION("""COMPUTED_VALUE"""),TRUE)</f>
        <v>1</v>
      </c>
      <c r="AA80" s="45" t="b">
        <f>IFERROR(__xludf.DUMMYFUNCTION("""COMPUTED_VALUE"""),TRUE)</f>
        <v>1</v>
      </c>
      <c r="AB80" s="45" t="b">
        <f>IFERROR(__xludf.DUMMYFUNCTION("""COMPUTED_VALUE"""),TRUE)</f>
        <v>1</v>
      </c>
      <c r="AC80" s="45" t="b">
        <f>IFERROR(__xludf.DUMMYFUNCTION("""COMPUTED_VALUE"""),TRUE)</f>
        <v>1</v>
      </c>
      <c r="AD80" s="45" t="b">
        <f>IFERROR(__xludf.DUMMYFUNCTION("""COMPUTED_VALUE"""),TRUE)</f>
        <v>1</v>
      </c>
      <c r="AE80" s="45" t="b">
        <f>IFERROR(__xludf.DUMMYFUNCTION("""COMPUTED_VALUE"""),FALSE)</f>
        <v>0</v>
      </c>
    </row>
    <row r="81">
      <c r="A81" s="6" t="b">
        <v>0</v>
      </c>
      <c r="B81" s="45" t="str">
        <f>IFERROR(__xludf.DUMMYFUNCTION("""COMPUTED_VALUE"""),"Barreleye")</f>
        <v>Barreleye</v>
      </c>
      <c r="C81" s="45">
        <f>IFERROR(__xludf.DUMMYFUNCTION("""COMPUTED_VALUE"""),15000.0)</f>
        <v>15000</v>
      </c>
      <c r="D81" s="45" t="str">
        <f>IFERROR(__xludf.DUMMYFUNCTION("""COMPUTED_VALUE"""),"9 p.m. - 4 a.m.")</f>
        <v>9 p.m. - 4 a.m.</v>
      </c>
      <c r="E81" s="45" t="str">
        <f>IFERROR(__xludf.DUMMYFUNCTION("""COMPUTED_VALUE"""),"Sea")</f>
        <v>Sea</v>
      </c>
      <c r="F81" s="45" t="str">
        <f>IFERROR(__xludf.DUMMYFUNCTION("""COMPUTED_VALUE"""),"Small")</f>
        <v>Small</v>
      </c>
      <c r="G81" s="45" t="b">
        <f>IFERROR(__xludf.DUMMYFUNCTION("""COMPUTED_VALUE"""),TRUE)</f>
        <v>1</v>
      </c>
      <c r="H81" s="45" t="b">
        <f>IFERROR(__xludf.DUMMYFUNCTION("""COMPUTED_VALUE"""),TRUE)</f>
        <v>1</v>
      </c>
      <c r="I81" s="45" t="b">
        <f>IFERROR(__xludf.DUMMYFUNCTION("""COMPUTED_VALUE"""),TRUE)</f>
        <v>1</v>
      </c>
      <c r="J81" s="45" t="b">
        <f>IFERROR(__xludf.DUMMYFUNCTION("""COMPUTED_VALUE"""),TRUE)</f>
        <v>1</v>
      </c>
      <c r="K81" s="45" t="b">
        <f>IFERROR(__xludf.DUMMYFUNCTION("""COMPUTED_VALUE"""),TRUE)</f>
        <v>1</v>
      </c>
      <c r="L81" s="45" t="b">
        <f>IFERROR(__xludf.DUMMYFUNCTION("""COMPUTED_VALUE"""),TRUE)</f>
        <v>1</v>
      </c>
      <c r="M81" s="45" t="b">
        <f>IFERROR(__xludf.DUMMYFUNCTION("""COMPUTED_VALUE"""),TRUE)</f>
        <v>1</v>
      </c>
      <c r="N81" s="45" t="b">
        <f>IFERROR(__xludf.DUMMYFUNCTION("""COMPUTED_VALUE"""),TRUE)</f>
        <v>1</v>
      </c>
      <c r="O81" s="45" t="b">
        <f>IFERROR(__xludf.DUMMYFUNCTION("""COMPUTED_VALUE"""),TRUE)</f>
        <v>1</v>
      </c>
      <c r="P81" s="45" t="b">
        <f>IFERROR(__xludf.DUMMYFUNCTION("""COMPUTED_VALUE"""),TRUE)</f>
        <v>1</v>
      </c>
      <c r="Q81" s="45" t="b">
        <f>IFERROR(__xludf.DUMMYFUNCTION("""COMPUTED_VALUE"""),TRUE)</f>
        <v>1</v>
      </c>
      <c r="R81" s="45" t="b">
        <f>IFERROR(__xludf.DUMMYFUNCTION("""COMPUTED_VALUE"""),TRUE)</f>
        <v>1</v>
      </c>
      <c r="S81" s="45"/>
      <c r="T81" s="45" t="b">
        <f>IFERROR(__xludf.DUMMYFUNCTION("""COMPUTED_VALUE"""),TRUE)</f>
        <v>1</v>
      </c>
      <c r="U81" s="45" t="b">
        <f>IFERROR(__xludf.DUMMYFUNCTION("""COMPUTED_VALUE"""),TRUE)</f>
        <v>1</v>
      </c>
      <c r="V81" s="45" t="b">
        <f>IFERROR(__xludf.DUMMYFUNCTION("""COMPUTED_VALUE"""),TRUE)</f>
        <v>1</v>
      </c>
      <c r="W81" s="45" t="b">
        <f>IFERROR(__xludf.DUMMYFUNCTION("""COMPUTED_VALUE"""),TRUE)</f>
        <v>1</v>
      </c>
      <c r="X81" s="45" t="b">
        <f>IFERROR(__xludf.DUMMYFUNCTION("""COMPUTED_VALUE"""),TRUE)</f>
        <v>1</v>
      </c>
      <c r="Y81" s="45" t="b">
        <f>IFERROR(__xludf.DUMMYFUNCTION("""COMPUTED_VALUE"""),TRUE)</f>
        <v>1</v>
      </c>
      <c r="Z81" s="45" t="b">
        <f>IFERROR(__xludf.DUMMYFUNCTION("""COMPUTED_VALUE"""),TRUE)</f>
        <v>1</v>
      </c>
      <c r="AA81" s="45" t="b">
        <f>IFERROR(__xludf.DUMMYFUNCTION("""COMPUTED_VALUE"""),TRUE)</f>
        <v>1</v>
      </c>
      <c r="AB81" s="45" t="b">
        <f>IFERROR(__xludf.DUMMYFUNCTION("""COMPUTED_VALUE"""),TRUE)</f>
        <v>1</v>
      </c>
      <c r="AC81" s="45" t="b">
        <f>IFERROR(__xludf.DUMMYFUNCTION("""COMPUTED_VALUE"""),TRUE)</f>
        <v>1</v>
      </c>
      <c r="AD81" s="45" t="b">
        <f>IFERROR(__xludf.DUMMYFUNCTION("""COMPUTED_VALUE"""),TRUE)</f>
        <v>1</v>
      </c>
      <c r="AE81" s="45" t="b">
        <f>IFERROR(__xludf.DUMMYFUNCTION("""COMPUTED_VALUE"""),TRUE)</f>
        <v>1</v>
      </c>
    </row>
    <row r="82">
      <c r="A82" s="6" t="b">
        <v>0</v>
      </c>
      <c r="B82" s="45" t="str">
        <f>IFERROR(__xludf.DUMMYFUNCTION("""COMPUTED_VALUE"""),"Coelacanth")</f>
        <v>Coelacanth</v>
      </c>
      <c r="C82" s="45">
        <f>IFERROR(__xludf.DUMMYFUNCTION("""COMPUTED_VALUE"""),15000.0)</f>
        <v>15000</v>
      </c>
      <c r="D82" s="45" t="str">
        <f>IFERROR(__xludf.DUMMYFUNCTION("""COMPUTED_VALUE"""),"All day")</f>
        <v>All day</v>
      </c>
      <c r="E82" s="45" t="str">
        <f>IFERROR(__xludf.DUMMYFUNCTION("""COMPUTED_VALUE"""),"Sea (rainy days)")</f>
        <v>Sea (rainy days)</v>
      </c>
      <c r="F82" s="45" t="str">
        <f>IFERROR(__xludf.DUMMYFUNCTION("""COMPUTED_VALUE"""),"Largest")</f>
        <v>Largest</v>
      </c>
      <c r="G82" s="45" t="b">
        <f>IFERROR(__xludf.DUMMYFUNCTION("""COMPUTED_VALUE"""),TRUE)</f>
        <v>1</v>
      </c>
      <c r="H82" s="45" t="b">
        <f>IFERROR(__xludf.DUMMYFUNCTION("""COMPUTED_VALUE"""),TRUE)</f>
        <v>1</v>
      </c>
      <c r="I82" s="45" t="b">
        <f>IFERROR(__xludf.DUMMYFUNCTION("""COMPUTED_VALUE"""),TRUE)</f>
        <v>1</v>
      </c>
      <c r="J82" s="45" t="b">
        <f>IFERROR(__xludf.DUMMYFUNCTION("""COMPUTED_VALUE"""),TRUE)</f>
        <v>1</v>
      </c>
      <c r="K82" s="45" t="b">
        <f>IFERROR(__xludf.DUMMYFUNCTION("""COMPUTED_VALUE"""),TRUE)</f>
        <v>1</v>
      </c>
      <c r="L82" s="45" t="b">
        <f>IFERROR(__xludf.DUMMYFUNCTION("""COMPUTED_VALUE"""),TRUE)</f>
        <v>1</v>
      </c>
      <c r="M82" s="45" t="b">
        <f>IFERROR(__xludf.DUMMYFUNCTION("""COMPUTED_VALUE"""),TRUE)</f>
        <v>1</v>
      </c>
      <c r="N82" s="45" t="b">
        <f>IFERROR(__xludf.DUMMYFUNCTION("""COMPUTED_VALUE"""),TRUE)</f>
        <v>1</v>
      </c>
      <c r="O82" s="45" t="b">
        <f>IFERROR(__xludf.DUMMYFUNCTION("""COMPUTED_VALUE"""),TRUE)</f>
        <v>1</v>
      </c>
      <c r="P82" s="45" t="b">
        <f>IFERROR(__xludf.DUMMYFUNCTION("""COMPUTED_VALUE"""),TRUE)</f>
        <v>1</v>
      </c>
      <c r="Q82" s="45" t="b">
        <f>IFERROR(__xludf.DUMMYFUNCTION("""COMPUTED_VALUE"""),TRUE)</f>
        <v>1</v>
      </c>
      <c r="R82" s="45" t="b">
        <f>IFERROR(__xludf.DUMMYFUNCTION("""COMPUTED_VALUE"""),TRUE)</f>
        <v>1</v>
      </c>
      <c r="S82" s="45"/>
      <c r="T82" s="45" t="b">
        <f>IFERROR(__xludf.DUMMYFUNCTION("""COMPUTED_VALUE"""),TRUE)</f>
        <v>1</v>
      </c>
      <c r="U82" s="45" t="b">
        <f>IFERROR(__xludf.DUMMYFUNCTION("""COMPUTED_VALUE"""),TRUE)</f>
        <v>1</v>
      </c>
      <c r="V82" s="45" t="b">
        <f>IFERROR(__xludf.DUMMYFUNCTION("""COMPUTED_VALUE"""),TRUE)</f>
        <v>1</v>
      </c>
      <c r="W82" s="45" t="b">
        <f>IFERROR(__xludf.DUMMYFUNCTION("""COMPUTED_VALUE"""),TRUE)</f>
        <v>1</v>
      </c>
      <c r="X82" s="45" t="b">
        <f>IFERROR(__xludf.DUMMYFUNCTION("""COMPUTED_VALUE"""),TRUE)</f>
        <v>1</v>
      </c>
      <c r="Y82" s="45" t="b">
        <f>IFERROR(__xludf.DUMMYFUNCTION("""COMPUTED_VALUE"""),TRUE)</f>
        <v>1</v>
      </c>
      <c r="Z82" s="45" t="b">
        <f>IFERROR(__xludf.DUMMYFUNCTION("""COMPUTED_VALUE"""),TRUE)</f>
        <v>1</v>
      </c>
      <c r="AA82" s="45" t="b">
        <f>IFERROR(__xludf.DUMMYFUNCTION("""COMPUTED_VALUE"""),TRUE)</f>
        <v>1</v>
      </c>
      <c r="AB82" s="45" t="b">
        <f>IFERROR(__xludf.DUMMYFUNCTION("""COMPUTED_VALUE"""),TRUE)</f>
        <v>1</v>
      </c>
      <c r="AC82" s="45" t="b">
        <f>IFERROR(__xludf.DUMMYFUNCTION("""COMPUTED_VALUE"""),TRUE)</f>
        <v>1</v>
      </c>
      <c r="AD82" s="45" t="b">
        <f>IFERROR(__xludf.DUMMYFUNCTION("""COMPUTED_VALUE"""),TRUE)</f>
        <v>1</v>
      </c>
      <c r="AE82" s="45" t="b">
        <f>IFERROR(__xludf.DUMMYFUNCTION("""COMPUTED_VALUE"""),TRUE)</f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1.25"/>
    <col customWidth="1" min="3" max="3" width="5.5"/>
    <col customWidth="1" min="4" max="4" width="12.63"/>
    <col customWidth="1" min="5" max="5" width="10.75"/>
    <col customWidth="1" min="6" max="32" width="3.88"/>
  </cols>
  <sheetData>
    <row r="1">
      <c r="B1" s="45" t="str">
        <f>IFERROR(__xludf.DUMMYFUNCTION("IMPORTRANGE(""https://docs.google.com/spreadsheets/d/1DIFDg8sxRsO_mx-2ULzkZ9260v75e-pcuO51Wqdb05I/edit"", ""Bugs!B1:AF"")"),"")</f>
        <v/>
      </c>
      <c r="C1" s="45"/>
      <c r="D1" s="45"/>
      <c r="E1" s="45"/>
      <c r="F1" s="45"/>
      <c r="G1" s="45"/>
      <c r="H1" s="45" t="str">
        <f>IFERROR(__xludf.DUMMYFUNCTION("""COMPUTED_VALUE"""),"Northern Hemisphere")</f>
        <v>Northern Hemisphere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 t="str">
        <f>IFERROR(__xludf.DUMMYFUNCTION("""COMPUTED_VALUE"""),"Southern Hemisphere")</f>
        <v>Southern Hemisphere</v>
      </c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B2" s="45"/>
      <c r="C2" s="45"/>
      <c r="D2" s="45"/>
      <c r="E2" s="45"/>
      <c r="F2" s="45"/>
      <c r="G2" s="45"/>
      <c r="H2" s="45" t="str">
        <f>IFERROR(__xludf.DUMMYFUNCTION("""COMPUTED_VALUE"""),"Jan")</f>
        <v>Jan</v>
      </c>
      <c r="I2" s="45" t="str">
        <f>IFERROR(__xludf.DUMMYFUNCTION("""COMPUTED_VALUE"""),"Feb")</f>
        <v>Feb</v>
      </c>
      <c r="J2" s="45" t="str">
        <f>IFERROR(__xludf.DUMMYFUNCTION("""COMPUTED_VALUE"""),"Mar")</f>
        <v>Mar</v>
      </c>
      <c r="K2" s="45" t="str">
        <f>IFERROR(__xludf.DUMMYFUNCTION("""COMPUTED_VALUE"""),"Apr")</f>
        <v>Apr</v>
      </c>
      <c r="L2" s="45" t="str">
        <f>IFERROR(__xludf.DUMMYFUNCTION("""COMPUTED_VALUE"""),"May")</f>
        <v>May</v>
      </c>
      <c r="M2" s="45" t="str">
        <f>IFERROR(__xludf.DUMMYFUNCTION("""COMPUTED_VALUE"""),"June")</f>
        <v>June</v>
      </c>
      <c r="N2" s="45" t="str">
        <f>IFERROR(__xludf.DUMMYFUNCTION("""COMPUTED_VALUE"""),"July")</f>
        <v>July</v>
      </c>
      <c r="O2" s="45" t="str">
        <f>IFERROR(__xludf.DUMMYFUNCTION("""COMPUTED_VALUE"""),"Aug")</f>
        <v>Aug</v>
      </c>
      <c r="P2" s="45" t="str">
        <f>IFERROR(__xludf.DUMMYFUNCTION("""COMPUTED_VALUE"""),"Sept")</f>
        <v>Sept</v>
      </c>
      <c r="Q2" s="45" t="str">
        <f>IFERROR(__xludf.DUMMYFUNCTION("""COMPUTED_VALUE"""),"Oct")</f>
        <v>Oct</v>
      </c>
      <c r="R2" s="45" t="str">
        <f>IFERROR(__xludf.DUMMYFUNCTION("""COMPUTED_VALUE"""),"Nov")</f>
        <v>Nov</v>
      </c>
      <c r="S2" s="45" t="str">
        <f>IFERROR(__xludf.DUMMYFUNCTION("""COMPUTED_VALUE"""),"Dec")</f>
        <v>Dec</v>
      </c>
      <c r="T2" s="45"/>
      <c r="U2" s="45" t="str">
        <f>IFERROR(__xludf.DUMMYFUNCTION("""COMPUTED_VALUE"""),"Jan")</f>
        <v>Jan</v>
      </c>
      <c r="V2" s="45" t="str">
        <f>IFERROR(__xludf.DUMMYFUNCTION("""COMPUTED_VALUE"""),"Feb")</f>
        <v>Feb</v>
      </c>
      <c r="W2" s="45" t="str">
        <f>IFERROR(__xludf.DUMMYFUNCTION("""COMPUTED_VALUE"""),"Mar")</f>
        <v>Mar</v>
      </c>
      <c r="X2" s="45" t="str">
        <f>IFERROR(__xludf.DUMMYFUNCTION("""COMPUTED_VALUE"""),"Apr")</f>
        <v>Apr</v>
      </c>
      <c r="Y2" s="45" t="str">
        <f>IFERROR(__xludf.DUMMYFUNCTION("""COMPUTED_VALUE"""),"May")</f>
        <v>May</v>
      </c>
      <c r="Z2" s="45" t="str">
        <f>IFERROR(__xludf.DUMMYFUNCTION("""COMPUTED_VALUE"""),"June")</f>
        <v>June</v>
      </c>
      <c r="AA2" s="45" t="str">
        <f>IFERROR(__xludf.DUMMYFUNCTION("""COMPUTED_VALUE"""),"July")</f>
        <v>July</v>
      </c>
      <c r="AB2" s="45" t="str">
        <f>IFERROR(__xludf.DUMMYFUNCTION("""COMPUTED_VALUE"""),"Aug")</f>
        <v>Aug</v>
      </c>
      <c r="AC2" s="45" t="str">
        <f>IFERROR(__xludf.DUMMYFUNCTION("""COMPUTED_VALUE"""),"Sept")</f>
        <v>Sept</v>
      </c>
      <c r="AD2" s="45" t="str">
        <f>IFERROR(__xludf.DUMMYFUNCTION("""COMPUTED_VALUE"""),"Oct")</f>
        <v>Oct</v>
      </c>
      <c r="AE2" s="45" t="str">
        <f>IFERROR(__xludf.DUMMYFUNCTION("""COMPUTED_VALUE"""),"Nov")</f>
        <v>Nov</v>
      </c>
      <c r="AF2" s="45" t="str">
        <f>IFERROR(__xludf.DUMMYFUNCTION("""COMPUTED_VALUE"""),"Dec")</f>
        <v>Dec</v>
      </c>
    </row>
    <row r="3">
      <c r="A3" s="45" t="b">
        <v>0</v>
      </c>
      <c r="B3" s="45" t="str">
        <f>IFERROR(__xludf.DUMMYFUNCTION("""COMPUTED_VALUE"""),"Common butterfly")</f>
        <v>Common butterfly</v>
      </c>
      <c r="C3" s="45">
        <f>IFERROR(__xludf.DUMMYFUNCTION("""COMPUTED_VALUE"""),160.0)</f>
        <v>160</v>
      </c>
      <c r="D3" s="45" t="str">
        <f>IFERROR(__xludf.DUMMYFUNCTION("""COMPUTED_VALUE"""),"4 a.m. - 7 p.m.")</f>
        <v>4 a.m. - 7 p.m.</v>
      </c>
      <c r="E3" s="45" t="str">
        <f>IFERROR(__xludf.DUMMYFUNCTION("""COMPUTED_VALUE"""),"Flying")</f>
        <v>Flying</v>
      </c>
      <c r="F3" s="45"/>
      <c r="G3" s="45"/>
      <c r="H3" s="45" t="b">
        <f>IFERROR(__xludf.DUMMYFUNCTION("""COMPUTED_VALUE"""),TRUE)</f>
        <v>1</v>
      </c>
      <c r="I3" s="45" t="b">
        <f>IFERROR(__xludf.DUMMYFUNCTION("""COMPUTED_VALUE"""),TRUE)</f>
        <v>1</v>
      </c>
      <c r="J3" s="45" t="b">
        <f>IFERROR(__xludf.DUMMYFUNCTION("""COMPUTED_VALUE"""),TRUE)</f>
        <v>1</v>
      </c>
      <c r="K3" s="45" t="b">
        <f>IFERROR(__xludf.DUMMYFUNCTION("""COMPUTED_VALUE"""),TRUE)</f>
        <v>1</v>
      </c>
      <c r="L3" s="45" t="b">
        <f>IFERROR(__xludf.DUMMYFUNCTION("""COMPUTED_VALUE"""),TRUE)</f>
        <v>1</v>
      </c>
      <c r="M3" s="45" t="b">
        <f>IFERROR(__xludf.DUMMYFUNCTION("""COMPUTED_VALUE"""),TRUE)</f>
        <v>1</v>
      </c>
      <c r="N3" s="45" t="b">
        <f>IFERROR(__xludf.DUMMYFUNCTION("""COMPUTED_VALUE"""),FALSE)</f>
        <v>0</v>
      </c>
      <c r="O3" s="45" t="b">
        <f>IFERROR(__xludf.DUMMYFUNCTION("""COMPUTED_VALUE"""),FALSE)</f>
        <v>0</v>
      </c>
      <c r="P3" s="45" t="b">
        <f>IFERROR(__xludf.DUMMYFUNCTION("""COMPUTED_VALUE"""),TRUE)</f>
        <v>1</v>
      </c>
      <c r="Q3" s="45" t="b">
        <f>IFERROR(__xludf.DUMMYFUNCTION("""COMPUTED_VALUE"""),TRUE)</f>
        <v>1</v>
      </c>
      <c r="R3" s="45" t="b">
        <f>IFERROR(__xludf.DUMMYFUNCTION("""COMPUTED_VALUE"""),TRUE)</f>
        <v>1</v>
      </c>
      <c r="S3" s="45" t="b">
        <f>IFERROR(__xludf.DUMMYFUNCTION("""COMPUTED_VALUE"""),TRUE)</f>
        <v>1</v>
      </c>
      <c r="T3" s="45"/>
      <c r="U3" s="45" t="b">
        <f>IFERROR(__xludf.DUMMYFUNCTION("""COMPUTED_VALUE"""),FALSE)</f>
        <v>0</v>
      </c>
      <c r="V3" s="45" t="b">
        <f>IFERROR(__xludf.DUMMYFUNCTION("""COMPUTED_VALUE"""),FALSE)</f>
        <v>0</v>
      </c>
      <c r="W3" s="45" t="b">
        <f>IFERROR(__xludf.DUMMYFUNCTION("""COMPUTED_VALUE"""),TRUE)</f>
        <v>1</v>
      </c>
      <c r="X3" s="45" t="b">
        <f>IFERROR(__xludf.DUMMYFUNCTION("""COMPUTED_VALUE"""),TRUE)</f>
        <v>1</v>
      </c>
      <c r="Y3" s="45" t="b">
        <f>IFERROR(__xludf.DUMMYFUNCTION("""COMPUTED_VALUE"""),TRUE)</f>
        <v>1</v>
      </c>
      <c r="Z3" s="45" t="b">
        <f>IFERROR(__xludf.DUMMYFUNCTION("""COMPUTED_VALUE"""),TRUE)</f>
        <v>1</v>
      </c>
      <c r="AA3" s="45" t="b">
        <f>IFERROR(__xludf.DUMMYFUNCTION("""COMPUTED_VALUE"""),TRUE)</f>
        <v>1</v>
      </c>
      <c r="AB3" s="45" t="b">
        <f>IFERROR(__xludf.DUMMYFUNCTION("""COMPUTED_VALUE"""),TRUE)</f>
        <v>1</v>
      </c>
      <c r="AC3" s="45" t="b">
        <f>IFERROR(__xludf.DUMMYFUNCTION("""COMPUTED_VALUE"""),TRUE)</f>
        <v>1</v>
      </c>
      <c r="AD3" s="45" t="b">
        <f>IFERROR(__xludf.DUMMYFUNCTION("""COMPUTED_VALUE"""),TRUE)</f>
        <v>1</v>
      </c>
      <c r="AE3" s="45" t="b">
        <f>IFERROR(__xludf.DUMMYFUNCTION("""COMPUTED_VALUE"""),TRUE)</f>
        <v>1</v>
      </c>
      <c r="AF3" s="45" t="b">
        <f>IFERROR(__xludf.DUMMYFUNCTION("""COMPUTED_VALUE"""),TRUE)</f>
        <v>1</v>
      </c>
    </row>
    <row r="4">
      <c r="A4" s="45" t="b">
        <v>0</v>
      </c>
      <c r="B4" s="45" t="str">
        <f>IFERROR(__xludf.DUMMYFUNCTION("""COMPUTED_VALUE"""),"Yellow butterfly")</f>
        <v>Yellow butterfly</v>
      </c>
      <c r="C4" s="45">
        <f>IFERROR(__xludf.DUMMYFUNCTION("""COMPUTED_VALUE"""),160.0)</f>
        <v>160</v>
      </c>
      <c r="D4" s="45" t="str">
        <f>IFERROR(__xludf.DUMMYFUNCTION("""COMPUTED_VALUE"""),"4 a.m. - 7 p.m.")</f>
        <v>4 a.m. - 7 p.m.</v>
      </c>
      <c r="E4" s="45" t="str">
        <f>IFERROR(__xludf.DUMMYFUNCTION("""COMPUTED_VALUE"""),"Flying")</f>
        <v>Flying</v>
      </c>
      <c r="F4" s="45"/>
      <c r="G4" s="45"/>
      <c r="H4" s="45" t="b">
        <f>IFERROR(__xludf.DUMMYFUNCTION("""COMPUTED_VALUE"""),FALSE)</f>
        <v>0</v>
      </c>
      <c r="I4" s="45" t="b">
        <f>IFERROR(__xludf.DUMMYFUNCTION("""COMPUTED_VALUE"""),FALSE)</f>
        <v>0</v>
      </c>
      <c r="J4" s="45" t="b">
        <f>IFERROR(__xludf.DUMMYFUNCTION("""COMPUTED_VALUE"""),TRUE)</f>
        <v>1</v>
      </c>
      <c r="K4" s="45" t="b">
        <f>IFERROR(__xludf.DUMMYFUNCTION("""COMPUTED_VALUE"""),TRUE)</f>
        <v>1</v>
      </c>
      <c r="L4" s="45" t="b">
        <f>IFERROR(__xludf.DUMMYFUNCTION("""COMPUTED_VALUE"""),TRUE)</f>
        <v>1</v>
      </c>
      <c r="M4" s="45" t="b">
        <f>IFERROR(__xludf.DUMMYFUNCTION("""COMPUTED_VALUE"""),TRUE)</f>
        <v>1</v>
      </c>
      <c r="N4" s="45" t="b">
        <f>IFERROR(__xludf.DUMMYFUNCTION("""COMPUTED_VALUE"""),FALSE)</f>
        <v>0</v>
      </c>
      <c r="O4" s="45" t="b">
        <f>IFERROR(__xludf.DUMMYFUNCTION("""COMPUTED_VALUE"""),FALSE)</f>
        <v>0</v>
      </c>
      <c r="P4" s="45" t="b">
        <f>IFERROR(__xludf.DUMMYFUNCTION("""COMPUTED_VALUE"""),TRUE)</f>
        <v>1</v>
      </c>
      <c r="Q4" s="45" t="b">
        <f>IFERROR(__xludf.DUMMYFUNCTION("""COMPUTED_VALUE"""),TRUE)</f>
        <v>1</v>
      </c>
      <c r="R4" s="45" t="b">
        <f>IFERROR(__xludf.DUMMYFUNCTION("""COMPUTED_VALUE"""),FALSE)</f>
        <v>0</v>
      </c>
      <c r="S4" s="45" t="b">
        <f>IFERROR(__xludf.DUMMYFUNCTION("""COMPUTED_VALUE"""),FALSE)</f>
        <v>0</v>
      </c>
      <c r="T4" s="45"/>
      <c r="U4" s="45" t="b">
        <f>IFERROR(__xludf.DUMMYFUNCTION("""COMPUTED_VALUE"""),FALSE)</f>
        <v>0</v>
      </c>
      <c r="V4" s="45" t="b">
        <f>IFERROR(__xludf.DUMMYFUNCTION("""COMPUTED_VALUE"""),FALSE)</f>
        <v>0</v>
      </c>
      <c r="W4" s="45" t="b">
        <f>IFERROR(__xludf.DUMMYFUNCTION("""COMPUTED_VALUE"""),TRUE)</f>
        <v>1</v>
      </c>
      <c r="X4" s="45" t="b">
        <f>IFERROR(__xludf.DUMMYFUNCTION("""COMPUTED_VALUE"""),TRUE)</f>
        <v>1</v>
      </c>
      <c r="Y4" s="45" t="b">
        <f>IFERROR(__xludf.DUMMYFUNCTION("""COMPUTED_VALUE"""),FALSE)</f>
        <v>0</v>
      </c>
      <c r="Z4" s="45" t="b">
        <f>IFERROR(__xludf.DUMMYFUNCTION("""COMPUTED_VALUE"""),FALSE)</f>
        <v>0</v>
      </c>
      <c r="AA4" s="45" t="b">
        <f>IFERROR(__xludf.DUMMYFUNCTION("""COMPUTED_VALUE"""),FALSE)</f>
        <v>0</v>
      </c>
      <c r="AB4" s="45" t="b">
        <f>IFERROR(__xludf.DUMMYFUNCTION("""COMPUTED_VALUE"""),FALSE)</f>
        <v>0</v>
      </c>
      <c r="AC4" s="45" t="b">
        <f>IFERROR(__xludf.DUMMYFUNCTION("""COMPUTED_VALUE"""),TRUE)</f>
        <v>1</v>
      </c>
      <c r="AD4" s="45" t="b">
        <f>IFERROR(__xludf.DUMMYFUNCTION("""COMPUTED_VALUE"""),TRUE)</f>
        <v>1</v>
      </c>
      <c r="AE4" s="45" t="b">
        <f>IFERROR(__xludf.DUMMYFUNCTION("""COMPUTED_VALUE"""),TRUE)</f>
        <v>1</v>
      </c>
      <c r="AF4" s="45" t="b">
        <f>IFERROR(__xludf.DUMMYFUNCTION("""COMPUTED_VALUE"""),TRUE)</f>
        <v>1</v>
      </c>
    </row>
    <row r="5">
      <c r="A5" s="45" t="b">
        <v>0</v>
      </c>
      <c r="B5" s="45" t="str">
        <f>IFERROR(__xludf.DUMMYFUNCTION("""COMPUTED_VALUE"""),"Tiger butterfly")</f>
        <v>Tiger butterfly</v>
      </c>
      <c r="C5" s="45">
        <f>IFERROR(__xludf.DUMMYFUNCTION("""COMPUTED_VALUE"""),240.0)</f>
        <v>240</v>
      </c>
      <c r="D5" s="45" t="str">
        <f>IFERROR(__xludf.DUMMYFUNCTION("""COMPUTED_VALUE"""),"4 a.m. - 7 p.m.")</f>
        <v>4 a.m. - 7 p.m.</v>
      </c>
      <c r="E5" s="45" t="str">
        <f>IFERROR(__xludf.DUMMYFUNCTION("""COMPUTED_VALUE"""),"Flying")</f>
        <v>Flying</v>
      </c>
      <c r="F5" s="45"/>
      <c r="G5" s="45"/>
      <c r="H5" s="45" t="b">
        <f>IFERROR(__xludf.DUMMYFUNCTION("""COMPUTED_VALUE"""),FALSE)</f>
        <v>0</v>
      </c>
      <c r="I5" s="45" t="b">
        <f>IFERROR(__xludf.DUMMYFUNCTION("""COMPUTED_VALUE"""),FALSE)</f>
        <v>0</v>
      </c>
      <c r="J5" s="45" t="b">
        <f>IFERROR(__xludf.DUMMYFUNCTION("""COMPUTED_VALUE"""),TRUE)</f>
        <v>1</v>
      </c>
      <c r="K5" s="45" t="b">
        <f>IFERROR(__xludf.DUMMYFUNCTION("""COMPUTED_VALUE"""),TRUE)</f>
        <v>1</v>
      </c>
      <c r="L5" s="45" t="b">
        <f>IFERROR(__xludf.DUMMYFUNCTION("""COMPUTED_VALUE"""),TRUE)</f>
        <v>1</v>
      </c>
      <c r="M5" s="45" t="b">
        <f>IFERROR(__xludf.DUMMYFUNCTION("""COMPUTED_VALUE"""),TRUE)</f>
        <v>1</v>
      </c>
      <c r="N5" s="45" t="b">
        <f>IFERROR(__xludf.DUMMYFUNCTION("""COMPUTED_VALUE"""),TRUE)</f>
        <v>1</v>
      </c>
      <c r="O5" s="45" t="b">
        <f>IFERROR(__xludf.DUMMYFUNCTION("""COMPUTED_VALUE"""),TRUE)</f>
        <v>1</v>
      </c>
      <c r="P5" s="45" t="b">
        <f>IFERROR(__xludf.DUMMYFUNCTION("""COMPUTED_VALUE"""),TRUE)</f>
        <v>1</v>
      </c>
      <c r="Q5" s="45" t="b">
        <f>IFERROR(__xludf.DUMMYFUNCTION("""COMPUTED_VALUE"""),FALSE)</f>
        <v>0</v>
      </c>
      <c r="R5" s="45" t="b">
        <f>IFERROR(__xludf.DUMMYFUNCTION("""COMPUTED_VALUE"""),FALSE)</f>
        <v>0</v>
      </c>
      <c r="S5" s="45" t="b">
        <f>IFERROR(__xludf.DUMMYFUNCTION("""COMPUTED_VALUE"""),FALSE)</f>
        <v>0</v>
      </c>
      <c r="T5" s="45"/>
      <c r="U5" s="45" t="b">
        <f>IFERROR(__xludf.DUMMYFUNCTION("""COMPUTED_VALUE"""),TRUE)</f>
        <v>1</v>
      </c>
      <c r="V5" s="45" t="b">
        <f>IFERROR(__xludf.DUMMYFUNCTION("""COMPUTED_VALUE"""),TRUE)</f>
        <v>1</v>
      </c>
      <c r="W5" s="45" t="b">
        <f>IFERROR(__xludf.DUMMYFUNCTION("""COMPUTED_VALUE"""),TRUE)</f>
        <v>1</v>
      </c>
      <c r="X5" s="45" t="b">
        <f>IFERROR(__xludf.DUMMYFUNCTION("""COMPUTED_VALUE"""),FALSE)</f>
        <v>0</v>
      </c>
      <c r="Y5" s="45" t="b">
        <f>IFERROR(__xludf.DUMMYFUNCTION("""COMPUTED_VALUE"""),FALSE)</f>
        <v>0</v>
      </c>
      <c r="Z5" s="45" t="b">
        <f>IFERROR(__xludf.DUMMYFUNCTION("""COMPUTED_VALUE"""),FALSE)</f>
        <v>0</v>
      </c>
      <c r="AA5" s="45" t="b">
        <f>IFERROR(__xludf.DUMMYFUNCTION("""COMPUTED_VALUE"""),FALSE)</f>
        <v>0</v>
      </c>
      <c r="AB5" s="45" t="b">
        <f>IFERROR(__xludf.DUMMYFUNCTION("""COMPUTED_VALUE"""),FALSE)</f>
        <v>0</v>
      </c>
      <c r="AC5" s="45" t="b">
        <f>IFERROR(__xludf.DUMMYFUNCTION("""COMPUTED_VALUE"""),TRUE)</f>
        <v>1</v>
      </c>
      <c r="AD5" s="45" t="b">
        <f>IFERROR(__xludf.DUMMYFUNCTION("""COMPUTED_VALUE"""),TRUE)</f>
        <v>1</v>
      </c>
      <c r="AE5" s="45" t="b">
        <f>IFERROR(__xludf.DUMMYFUNCTION("""COMPUTED_VALUE"""),TRUE)</f>
        <v>1</v>
      </c>
      <c r="AF5" s="45" t="b">
        <f>IFERROR(__xludf.DUMMYFUNCTION("""COMPUTED_VALUE"""),TRUE)</f>
        <v>1</v>
      </c>
    </row>
    <row r="6">
      <c r="A6" s="25" t="b">
        <v>0</v>
      </c>
      <c r="B6" s="45" t="str">
        <f>IFERROR(__xludf.DUMMYFUNCTION("""COMPUTED_VALUE"""),"Peacock butterfly")</f>
        <v>Peacock butterfly</v>
      </c>
      <c r="C6" s="45">
        <f>IFERROR(__xludf.DUMMYFUNCTION("""COMPUTED_VALUE"""),2500.0)</f>
        <v>2500</v>
      </c>
      <c r="D6" s="45" t="str">
        <f>IFERROR(__xludf.DUMMYFUNCTION("""COMPUTED_VALUE"""),"4 a.m. - 7 p.m.")</f>
        <v>4 a.m. - 7 p.m.</v>
      </c>
      <c r="E6" s="45" t="str">
        <f>IFERROR(__xludf.DUMMYFUNCTION("""COMPUTED_VALUE"""),"Flying by hybrid flowers")</f>
        <v>Flying by hybrid flowers</v>
      </c>
      <c r="F6" s="45"/>
      <c r="G6" s="45"/>
      <c r="H6" s="45" t="b">
        <f>IFERROR(__xludf.DUMMYFUNCTION("""COMPUTED_VALUE"""),FALSE)</f>
        <v>0</v>
      </c>
      <c r="I6" s="45" t="b">
        <f>IFERROR(__xludf.DUMMYFUNCTION("""COMPUTED_VALUE"""),FALSE)</f>
        <v>0</v>
      </c>
      <c r="J6" s="45" t="b">
        <f>IFERROR(__xludf.DUMMYFUNCTION("""COMPUTED_VALUE"""),TRUE)</f>
        <v>1</v>
      </c>
      <c r="K6" s="45" t="b">
        <f>IFERROR(__xludf.DUMMYFUNCTION("""COMPUTED_VALUE"""),TRUE)</f>
        <v>1</v>
      </c>
      <c r="L6" s="45" t="b">
        <f>IFERROR(__xludf.DUMMYFUNCTION("""COMPUTED_VALUE"""),TRUE)</f>
        <v>1</v>
      </c>
      <c r="M6" s="45" t="b">
        <f>IFERROR(__xludf.DUMMYFUNCTION("""COMPUTED_VALUE"""),TRUE)</f>
        <v>1</v>
      </c>
      <c r="N6" s="45" t="b">
        <f>IFERROR(__xludf.DUMMYFUNCTION("""COMPUTED_VALUE"""),FALSE)</f>
        <v>0</v>
      </c>
      <c r="O6" s="45" t="b">
        <f>IFERROR(__xludf.DUMMYFUNCTION("""COMPUTED_VALUE"""),FALSE)</f>
        <v>0</v>
      </c>
      <c r="P6" s="45" t="b">
        <f>IFERROR(__xludf.DUMMYFUNCTION("""COMPUTED_VALUE"""),FALSE)</f>
        <v>0</v>
      </c>
      <c r="Q6" s="45" t="b">
        <f>IFERROR(__xludf.DUMMYFUNCTION("""COMPUTED_VALUE"""),FALSE)</f>
        <v>0</v>
      </c>
      <c r="R6" s="45" t="b">
        <f>IFERROR(__xludf.DUMMYFUNCTION("""COMPUTED_VALUE"""),FALSE)</f>
        <v>0</v>
      </c>
      <c r="S6" s="45" t="b">
        <f>IFERROR(__xludf.DUMMYFUNCTION("""COMPUTED_VALUE"""),FALSE)</f>
        <v>0</v>
      </c>
      <c r="T6" s="45"/>
      <c r="U6" s="45" t="b">
        <f>IFERROR(__xludf.DUMMYFUNCTION("""COMPUTED_VALUE"""),FALSE)</f>
        <v>0</v>
      </c>
      <c r="V6" s="45" t="b">
        <f>IFERROR(__xludf.DUMMYFUNCTION("""COMPUTED_VALUE"""),FALSE)</f>
        <v>0</v>
      </c>
      <c r="W6" s="45" t="b">
        <f>IFERROR(__xludf.DUMMYFUNCTION("""COMPUTED_VALUE"""),FALSE)</f>
        <v>0</v>
      </c>
      <c r="X6" s="45" t="b">
        <f>IFERROR(__xludf.DUMMYFUNCTION("""COMPUTED_VALUE"""),FALSE)</f>
        <v>0</v>
      </c>
      <c r="Y6" s="45" t="b">
        <f>IFERROR(__xludf.DUMMYFUNCTION("""COMPUTED_VALUE"""),FALSE)</f>
        <v>0</v>
      </c>
      <c r="Z6" s="45" t="b">
        <f>IFERROR(__xludf.DUMMYFUNCTION("""COMPUTED_VALUE"""),FALSE)</f>
        <v>0</v>
      </c>
      <c r="AA6" s="45" t="b">
        <f>IFERROR(__xludf.DUMMYFUNCTION("""COMPUTED_VALUE"""),FALSE)</f>
        <v>0</v>
      </c>
      <c r="AB6" s="45" t="b">
        <f>IFERROR(__xludf.DUMMYFUNCTION("""COMPUTED_VALUE"""),FALSE)</f>
        <v>0</v>
      </c>
      <c r="AC6" s="45" t="b">
        <f>IFERROR(__xludf.DUMMYFUNCTION("""COMPUTED_VALUE"""),TRUE)</f>
        <v>1</v>
      </c>
      <c r="AD6" s="45" t="b">
        <f>IFERROR(__xludf.DUMMYFUNCTION("""COMPUTED_VALUE"""),TRUE)</f>
        <v>1</v>
      </c>
      <c r="AE6" s="45" t="b">
        <f>IFERROR(__xludf.DUMMYFUNCTION("""COMPUTED_VALUE"""),TRUE)</f>
        <v>1</v>
      </c>
      <c r="AF6" s="45" t="b">
        <f>IFERROR(__xludf.DUMMYFUNCTION("""COMPUTED_VALUE"""),TRUE)</f>
        <v>1</v>
      </c>
    </row>
    <row r="7">
      <c r="A7" s="45" t="b">
        <v>0</v>
      </c>
      <c r="B7" s="45" t="str">
        <f>IFERROR(__xludf.DUMMYFUNCTION("""COMPUTED_VALUE"""),"Common bluebottle")</f>
        <v>Common bluebottle</v>
      </c>
      <c r="C7" s="45">
        <f>IFERROR(__xludf.DUMMYFUNCTION("""COMPUTED_VALUE"""),300.0)</f>
        <v>300</v>
      </c>
      <c r="D7" s="45" t="str">
        <f>IFERROR(__xludf.DUMMYFUNCTION("""COMPUTED_VALUE"""),"4 a.m. - 7 p.m.")</f>
        <v>4 a.m. - 7 p.m.</v>
      </c>
      <c r="E7" s="45" t="str">
        <f>IFERROR(__xludf.DUMMYFUNCTION("""COMPUTED_VALUE"""),"Flying")</f>
        <v>Flying</v>
      </c>
      <c r="F7" s="45"/>
      <c r="G7" s="45"/>
      <c r="H7" s="45" t="b">
        <f>IFERROR(__xludf.DUMMYFUNCTION("""COMPUTED_VALUE"""),FALSE)</f>
        <v>0</v>
      </c>
      <c r="I7" s="45" t="b">
        <f>IFERROR(__xludf.DUMMYFUNCTION("""COMPUTED_VALUE"""),FALSE)</f>
        <v>0</v>
      </c>
      <c r="J7" s="45" t="b">
        <f>IFERROR(__xludf.DUMMYFUNCTION("""COMPUTED_VALUE"""),FALSE)</f>
        <v>0</v>
      </c>
      <c r="K7" s="45" t="b">
        <f>IFERROR(__xludf.DUMMYFUNCTION("""COMPUTED_VALUE"""),TRUE)</f>
        <v>1</v>
      </c>
      <c r="L7" s="45" t="b">
        <f>IFERROR(__xludf.DUMMYFUNCTION("""COMPUTED_VALUE"""),TRUE)</f>
        <v>1</v>
      </c>
      <c r="M7" s="45" t="b">
        <f>IFERROR(__xludf.DUMMYFUNCTION("""COMPUTED_VALUE"""),TRUE)</f>
        <v>1</v>
      </c>
      <c r="N7" s="45" t="b">
        <f>IFERROR(__xludf.DUMMYFUNCTION("""COMPUTED_VALUE"""),TRUE)</f>
        <v>1</v>
      </c>
      <c r="O7" s="45" t="b">
        <f>IFERROR(__xludf.DUMMYFUNCTION("""COMPUTED_VALUE"""),TRUE)</f>
        <v>1</v>
      </c>
      <c r="P7" s="45" t="b">
        <f>IFERROR(__xludf.DUMMYFUNCTION("""COMPUTED_VALUE"""),FALSE)</f>
        <v>0</v>
      </c>
      <c r="Q7" s="45" t="b">
        <f>IFERROR(__xludf.DUMMYFUNCTION("""COMPUTED_VALUE"""),FALSE)</f>
        <v>0</v>
      </c>
      <c r="R7" s="45" t="b">
        <f>IFERROR(__xludf.DUMMYFUNCTION("""COMPUTED_VALUE"""),FALSE)</f>
        <v>0</v>
      </c>
      <c r="S7" s="45" t="b">
        <f>IFERROR(__xludf.DUMMYFUNCTION("""COMPUTED_VALUE"""),FALSE)</f>
        <v>0</v>
      </c>
      <c r="T7" s="45"/>
      <c r="U7" s="45" t="b">
        <f>IFERROR(__xludf.DUMMYFUNCTION("""COMPUTED_VALUE"""),TRUE)</f>
        <v>1</v>
      </c>
      <c r="V7" s="45" t="b">
        <f>IFERROR(__xludf.DUMMYFUNCTION("""COMPUTED_VALUE"""),TRUE)</f>
        <v>1</v>
      </c>
      <c r="W7" s="45" t="b">
        <f>IFERROR(__xludf.DUMMYFUNCTION("""COMPUTED_VALUE"""),FALSE)</f>
        <v>0</v>
      </c>
      <c r="X7" s="45" t="b">
        <f>IFERROR(__xludf.DUMMYFUNCTION("""COMPUTED_VALUE"""),FALSE)</f>
        <v>0</v>
      </c>
      <c r="Y7" s="45" t="b">
        <f>IFERROR(__xludf.DUMMYFUNCTION("""COMPUTED_VALUE"""),FALSE)</f>
        <v>0</v>
      </c>
      <c r="Z7" s="45" t="b">
        <f>IFERROR(__xludf.DUMMYFUNCTION("""COMPUTED_VALUE"""),FALSE)</f>
        <v>0</v>
      </c>
      <c r="AA7" s="45" t="b">
        <f>IFERROR(__xludf.DUMMYFUNCTION("""COMPUTED_VALUE"""),FALSE)</f>
        <v>0</v>
      </c>
      <c r="AB7" s="45" t="b">
        <f>IFERROR(__xludf.DUMMYFUNCTION("""COMPUTED_VALUE"""),FALSE)</f>
        <v>0</v>
      </c>
      <c r="AC7" s="45" t="b">
        <f>IFERROR(__xludf.DUMMYFUNCTION("""COMPUTED_VALUE"""),FALSE)</f>
        <v>0</v>
      </c>
      <c r="AD7" s="45" t="b">
        <f>IFERROR(__xludf.DUMMYFUNCTION("""COMPUTED_VALUE"""),TRUE)</f>
        <v>1</v>
      </c>
      <c r="AE7" s="45" t="b">
        <f>IFERROR(__xludf.DUMMYFUNCTION("""COMPUTED_VALUE"""),TRUE)</f>
        <v>1</v>
      </c>
      <c r="AF7" s="45" t="b">
        <f>IFERROR(__xludf.DUMMYFUNCTION("""COMPUTED_VALUE"""),TRUE)</f>
        <v>1</v>
      </c>
    </row>
    <row r="8">
      <c r="A8" s="45" t="b">
        <v>0</v>
      </c>
      <c r="B8" s="45" t="str">
        <f>IFERROR(__xludf.DUMMYFUNCTION("""COMPUTED_VALUE"""),"Paper kite butterfly")</f>
        <v>Paper kite butterfly</v>
      </c>
      <c r="C8" s="45">
        <f>IFERROR(__xludf.DUMMYFUNCTION("""COMPUTED_VALUE"""),1000.0)</f>
        <v>1000</v>
      </c>
      <c r="D8" s="45" t="str">
        <f>IFERROR(__xludf.DUMMYFUNCTION("""COMPUTED_VALUE"""),"8 a.m. - 7 p.m.")</f>
        <v>8 a.m. - 7 p.m.</v>
      </c>
      <c r="E8" s="45" t="str">
        <f>IFERROR(__xludf.DUMMYFUNCTION("""COMPUTED_VALUE"""),"Flying")</f>
        <v>Flying</v>
      </c>
      <c r="F8" s="45"/>
      <c r="G8" s="45"/>
      <c r="H8" s="45" t="b">
        <f>IFERROR(__xludf.DUMMYFUNCTION("""COMPUTED_VALUE"""),TRUE)</f>
        <v>1</v>
      </c>
      <c r="I8" s="45" t="b">
        <f>IFERROR(__xludf.DUMMYFUNCTION("""COMPUTED_VALUE"""),TRUE)</f>
        <v>1</v>
      </c>
      <c r="J8" s="45" t="b">
        <f>IFERROR(__xludf.DUMMYFUNCTION("""COMPUTED_VALUE"""),TRUE)</f>
        <v>1</v>
      </c>
      <c r="K8" s="45" t="b">
        <f>IFERROR(__xludf.DUMMYFUNCTION("""COMPUTED_VALUE"""),TRUE)</f>
        <v>1</v>
      </c>
      <c r="L8" s="45" t="b">
        <f>IFERROR(__xludf.DUMMYFUNCTION("""COMPUTED_VALUE"""),TRUE)</f>
        <v>1</v>
      </c>
      <c r="M8" s="45" t="b">
        <f>IFERROR(__xludf.DUMMYFUNCTION("""COMPUTED_VALUE"""),TRUE)</f>
        <v>1</v>
      </c>
      <c r="N8" s="45" t="b">
        <f>IFERROR(__xludf.DUMMYFUNCTION("""COMPUTED_VALUE"""),TRUE)</f>
        <v>1</v>
      </c>
      <c r="O8" s="45" t="b">
        <f>IFERROR(__xludf.DUMMYFUNCTION("""COMPUTED_VALUE"""),TRUE)</f>
        <v>1</v>
      </c>
      <c r="P8" s="45" t="b">
        <f>IFERROR(__xludf.DUMMYFUNCTION("""COMPUTED_VALUE"""),TRUE)</f>
        <v>1</v>
      </c>
      <c r="Q8" s="45" t="b">
        <f>IFERROR(__xludf.DUMMYFUNCTION("""COMPUTED_VALUE"""),TRUE)</f>
        <v>1</v>
      </c>
      <c r="R8" s="45" t="b">
        <f>IFERROR(__xludf.DUMMYFUNCTION("""COMPUTED_VALUE"""),TRUE)</f>
        <v>1</v>
      </c>
      <c r="S8" s="45" t="b">
        <f>IFERROR(__xludf.DUMMYFUNCTION("""COMPUTED_VALUE"""),TRUE)</f>
        <v>1</v>
      </c>
      <c r="T8" s="45"/>
      <c r="U8" s="45" t="b">
        <f>IFERROR(__xludf.DUMMYFUNCTION("""COMPUTED_VALUE"""),TRUE)</f>
        <v>1</v>
      </c>
      <c r="V8" s="45" t="b">
        <f>IFERROR(__xludf.DUMMYFUNCTION("""COMPUTED_VALUE"""),TRUE)</f>
        <v>1</v>
      </c>
      <c r="W8" s="45" t="b">
        <f>IFERROR(__xludf.DUMMYFUNCTION("""COMPUTED_VALUE"""),TRUE)</f>
        <v>1</v>
      </c>
      <c r="X8" s="45" t="b">
        <f>IFERROR(__xludf.DUMMYFUNCTION("""COMPUTED_VALUE"""),TRUE)</f>
        <v>1</v>
      </c>
      <c r="Y8" s="45" t="b">
        <f>IFERROR(__xludf.DUMMYFUNCTION("""COMPUTED_VALUE"""),TRUE)</f>
        <v>1</v>
      </c>
      <c r="Z8" s="45" t="b">
        <f>IFERROR(__xludf.DUMMYFUNCTION("""COMPUTED_VALUE"""),TRUE)</f>
        <v>1</v>
      </c>
      <c r="AA8" s="45" t="b">
        <f>IFERROR(__xludf.DUMMYFUNCTION("""COMPUTED_VALUE"""),TRUE)</f>
        <v>1</v>
      </c>
      <c r="AB8" s="45" t="b">
        <f>IFERROR(__xludf.DUMMYFUNCTION("""COMPUTED_VALUE"""),TRUE)</f>
        <v>1</v>
      </c>
      <c r="AC8" s="45" t="b">
        <f>IFERROR(__xludf.DUMMYFUNCTION("""COMPUTED_VALUE"""),TRUE)</f>
        <v>1</v>
      </c>
      <c r="AD8" s="45" t="b">
        <f>IFERROR(__xludf.DUMMYFUNCTION("""COMPUTED_VALUE"""),TRUE)</f>
        <v>1</v>
      </c>
      <c r="AE8" s="45" t="b">
        <f>IFERROR(__xludf.DUMMYFUNCTION("""COMPUTED_VALUE"""),TRUE)</f>
        <v>1</v>
      </c>
      <c r="AF8" s="45" t="b">
        <f>IFERROR(__xludf.DUMMYFUNCTION("""COMPUTED_VALUE"""),TRUE)</f>
        <v>1</v>
      </c>
    </row>
    <row r="9">
      <c r="A9" s="45" t="b">
        <v>0</v>
      </c>
      <c r="B9" s="45" t="str">
        <f>IFERROR(__xludf.DUMMYFUNCTION("""COMPUTED_VALUE"""),"Great purple emperor")</f>
        <v>Great purple emperor</v>
      </c>
      <c r="C9" s="45">
        <f>IFERROR(__xludf.DUMMYFUNCTION("""COMPUTED_VALUE"""),3000.0)</f>
        <v>3000</v>
      </c>
      <c r="D9" s="45" t="str">
        <f>IFERROR(__xludf.DUMMYFUNCTION("""COMPUTED_VALUE"""),"4 a.m. - 7 p.m.")</f>
        <v>4 a.m. - 7 p.m.</v>
      </c>
      <c r="E9" s="45" t="str">
        <f>IFERROR(__xludf.DUMMYFUNCTION("""COMPUTED_VALUE"""),"Flying")</f>
        <v>Flying</v>
      </c>
      <c r="F9" s="45"/>
      <c r="G9" s="45"/>
      <c r="H9" s="45" t="b">
        <f>IFERROR(__xludf.DUMMYFUNCTION("""COMPUTED_VALUE"""),FALSE)</f>
        <v>0</v>
      </c>
      <c r="I9" s="45" t="b">
        <f>IFERROR(__xludf.DUMMYFUNCTION("""COMPUTED_VALUE"""),FALSE)</f>
        <v>0</v>
      </c>
      <c r="J9" s="45" t="b">
        <f>IFERROR(__xludf.DUMMYFUNCTION("""COMPUTED_VALUE"""),FALSE)</f>
        <v>0</v>
      </c>
      <c r="K9" s="45" t="b">
        <f>IFERROR(__xludf.DUMMYFUNCTION("""COMPUTED_VALUE"""),FALSE)</f>
        <v>0</v>
      </c>
      <c r="L9" s="45" t="b">
        <f>IFERROR(__xludf.DUMMYFUNCTION("""COMPUTED_VALUE"""),TRUE)</f>
        <v>1</v>
      </c>
      <c r="M9" s="45" t="b">
        <f>IFERROR(__xludf.DUMMYFUNCTION("""COMPUTED_VALUE"""),TRUE)</f>
        <v>1</v>
      </c>
      <c r="N9" s="45" t="b">
        <f>IFERROR(__xludf.DUMMYFUNCTION("""COMPUTED_VALUE"""),TRUE)</f>
        <v>1</v>
      </c>
      <c r="O9" s="45" t="b">
        <f>IFERROR(__xludf.DUMMYFUNCTION("""COMPUTED_VALUE"""),TRUE)</f>
        <v>1</v>
      </c>
      <c r="P9" s="45" t="b">
        <f>IFERROR(__xludf.DUMMYFUNCTION("""COMPUTED_VALUE"""),FALSE)</f>
        <v>0</v>
      </c>
      <c r="Q9" s="45" t="b">
        <f>IFERROR(__xludf.DUMMYFUNCTION("""COMPUTED_VALUE"""),FALSE)</f>
        <v>0</v>
      </c>
      <c r="R9" s="45" t="b">
        <f>IFERROR(__xludf.DUMMYFUNCTION("""COMPUTED_VALUE"""),FALSE)</f>
        <v>0</v>
      </c>
      <c r="S9" s="45" t="b">
        <f>IFERROR(__xludf.DUMMYFUNCTION("""COMPUTED_VALUE"""),FALSE)</f>
        <v>0</v>
      </c>
      <c r="T9" s="45"/>
      <c r="U9" s="45" t="b">
        <f>IFERROR(__xludf.DUMMYFUNCTION("""COMPUTED_VALUE"""),TRUE)</f>
        <v>1</v>
      </c>
      <c r="V9" s="45" t="b">
        <f>IFERROR(__xludf.DUMMYFUNCTION("""COMPUTED_VALUE"""),TRUE)</f>
        <v>1</v>
      </c>
      <c r="W9" s="45" t="b">
        <f>IFERROR(__xludf.DUMMYFUNCTION("""COMPUTED_VALUE"""),FALSE)</f>
        <v>0</v>
      </c>
      <c r="X9" s="45" t="b">
        <f>IFERROR(__xludf.DUMMYFUNCTION("""COMPUTED_VALUE"""),FALSE)</f>
        <v>0</v>
      </c>
      <c r="Y9" s="45" t="b">
        <f>IFERROR(__xludf.DUMMYFUNCTION("""COMPUTED_VALUE"""),FALSE)</f>
        <v>0</v>
      </c>
      <c r="Z9" s="45" t="b">
        <f>IFERROR(__xludf.DUMMYFUNCTION("""COMPUTED_VALUE"""),FALSE)</f>
        <v>0</v>
      </c>
      <c r="AA9" s="45" t="b">
        <f>IFERROR(__xludf.DUMMYFUNCTION("""COMPUTED_VALUE"""),FALSE)</f>
        <v>0</v>
      </c>
      <c r="AB9" s="45" t="b">
        <f>IFERROR(__xludf.DUMMYFUNCTION("""COMPUTED_VALUE"""),FALSE)</f>
        <v>0</v>
      </c>
      <c r="AC9" s="45" t="b">
        <f>IFERROR(__xludf.DUMMYFUNCTION("""COMPUTED_VALUE"""),FALSE)</f>
        <v>0</v>
      </c>
      <c r="AD9" s="45" t="b">
        <f>IFERROR(__xludf.DUMMYFUNCTION("""COMPUTED_VALUE"""),FALSE)</f>
        <v>0</v>
      </c>
      <c r="AE9" s="45" t="b">
        <f>IFERROR(__xludf.DUMMYFUNCTION("""COMPUTED_VALUE"""),TRUE)</f>
        <v>1</v>
      </c>
      <c r="AF9" s="45" t="b">
        <f>IFERROR(__xludf.DUMMYFUNCTION("""COMPUTED_VALUE"""),TRUE)</f>
        <v>1</v>
      </c>
    </row>
    <row r="10">
      <c r="A10" s="45" t="b">
        <v>0</v>
      </c>
      <c r="B10" s="45" t="str">
        <f>IFERROR(__xludf.DUMMYFUNCTION("""COMPUTED_VALUE"""),"Monarch butterfly")</f>
        <v>Monarch butterfly</v>
      </c>
      <c r="C10" s="45">
        <f>IFERROR(__xludf.DUMMYFUNCTION("""COMPUTED_VALUE"""),140.0)</f>
        <v>140</v>
      </c>
      <c r="D10" s="45" t="str">
        <f>IFERROR(__xludf.DUMMYFUNCTION("""COMPUTED_VALUE"""),"4 a.m. - 5 p.m.")</f>
        <v>4 a.m. - 5 p.m.</v>
      </c>
      <c r="E10" s="45" t="str">
        <f>IFERROR(__xludf.DUMMYFUNCTION("""COMPUTED_VALUE"""),"Flying")</f>
        <v>Flying</v>
      </c>
      <c r="F10" s="45"/>
      <c r="G10" s="45"/>
      <c r="H10" s="45" t="b">
        <f>IFERROR(__xludf.DUMMYFUNCTION("""COMPUTED_VALUE"""),FALSE)</f>
        <v>0</v>
      </c>
      <c r="I10" s="45" t="b">
        <f>IFERROR(__xludf.DUMMYFUNCTION("""COMPUTED_VALUE"""),FALSE)</f>
        <v>0</v>
      </c>
      <c r="J10" s="45" t="b">
        <f>IFERROR(__xludf.DUMMYFUNCTION("""COMPUTED_VALUE"""),FALSE)</f>
        <v>0</v>
      </c>
      <c r="K10" s="45" t="b">
        <f>IFERROR(__xludf.DUMMYFUNCTION("""COMPUTED_VALUE"""),FALSE)</f>
        <v>0</v>
      </c>
      <c r="L10" s="45" t="b">
        <f>IFERROR(__xludf.DUMMYFUNCTION("""COMPUTED_VALUE"""),FALSE)</f>
        <v>0</v>
      </c>
      <c r="M10" s="45" t="b">
        <f>IFERROR(__xludf.DUMMYFUNCTION("""COMPUTED_VALUE"""),FALSE)</f>
        <v>0</v>
      </c>
      <c r="N10" s="45" t="b">
        <f>IFERROR(__xludf.DUMMYFUNCTION("""COMPUTED_VALUE"""),FALSE)</f>
        <v>0</v>
      </c>
      <c r="O10" s="45" t="b">
        <f>IFERROR(__xludf.DUMMYFUNCTION("""COMPUTED_VALUE"""),FALSE)</f>
        <v>0</v>
      </c>
      <c r="P10" s="45" t="b">
        <f>IFERROR(__xludf.DUMMYFUNCTION("""COMPUTED_VALUE"""),TRUE)</f>
        <v>1</v>
      </c>
      <c r="Q10" s="45" t="b">
        <f>IFERROR(__xludf.DUMMYFUNCTION("""COMPUTED_VALUE"""),TRUE)</f>
        <v>1</v>
      </c>
      <c r="R10" s="45" t="b">
        <f>IFERROR(__xludf.DUMMYFUNCTION("""COMPUTED_VALUE"""),TRUE)</f>
        <v>1</v>
      </c>
      <c r="S10" s="45" t="b">
        <f>IFERROR(__xludf.DUMMYFUNCTION("""COMPUTED_VALUE"""),FALSE)</f>
        <v>0</v>
      </c>
      <c r="T10" s="45"/>
      <c r="U10" s="45" t="b">
        <f>IFERROR(__xludf.DUMMYFUNCTION("""COMPUTED_VALUE"""),FALSE)</f>
        <v>0</v>
      </c>
      <c r="V10" s="45" t="b">
        <f>IFERROR(__xludf.DUMMYFUNCTION("""COMPUTED_VALUE"""),FALSE)</f>
        <v>0</v>
      </c>
      <c r="W10" s="45" t="b">
        <f>IFERROR(__xludf.DUMMYFUNCTION("""COMPUTED_VALUE"""),TRUE)</f>
        <v>1</v>
      </c>
      <c r="X10" s="45" t="b">
        <f>IFERROR(__xludf.DUMMYFUNCTION("""COMPUTED_VALUE"""),TRUE)</f>
        <v>1</v>
      </c>
      <c r="Y10" s="45" t="b">
        <f>IFERROR(__xludf.DUMMYFUNCTION("""COMPUTED_VALUE"""),TRUE)</f>
        <v>1</v>
      </c>
      <c r="Z10" s="45" t="b">
        <f>IFERROR(__xludf.DUMMYFUNCTION("""COMPUTED_VALUE"""),FALSE)</f>
        <v>0</v>
      </c>
      <c r="AA10" s="45" t="b">
        <f>IFERROR(__xludf.DUMMYFUNCTION("""COMPUTED_VALUE"""),FALSE)</f>
        <v>0</v>
      </c>
      <c r="AB10" s="45" t="b">
        <f>IFERROR(__xludf.DUMMYFUNCTION("""COMPUTED_VALUE"""),FALSE)</f>
        <v>0</v>
      </c>
      <c r="AC10" s="45" t="b">
        <f>IFERROR(__xludf.DUMMYFUNCTION("""COMPUTED_VALUE"""),FALSE)</f>
        <v>0</v>
      </c>
      <c r="AD10" s="45" t="b">
        <f>IFERROR(__xludf.DUMMYFUNCTION("""COMPUTED_VALUE"""),FALSE)</f>
        <v>0</v>
      </c>
      <c r="AE10" s="45" t="b">
        <f>IFERROR(__xludf.DUMMYFUNCTION("""COMPUTED_VALUE"""),FALSE)</f>
        <v>0</v>
      </c>
      <c r="AF10" s="45" t="b">
        <f>IFERROR(__xludf.DUMMYFUNCTION("""COMPUTED_VALUE"""),FALSE)</f>
        <v>0</v>
      </c>
    </row>
    <row r="11">
      <c r="A11" s="45" t="b">
        <v>0</v>
      </c>
      <c r="B11" s="45" t="str">
        <f>IFERROR(__xludf.DUMMYFUNCTION("""COMPUTED_VALUE"""),"Emperor butterfly")</f>
        <v>Emperor butterfly</v>
      </c>
      <c r="C11" s="45">
        <f>IFERROR(__xludf.DUMMYFUNCTION("""COMPUTED_VALUE"""),4000.0)</f>
        <v>4000</v>
      </c>
      <c r="D11" s="45" t="str">
        <f>IFERROR(__xludf.DUMMYFUNCTION("""COMPUTED_VALUE"""),"5 p.m. - 8 a.m.")</f>
        <v>5 p.m. - 8 a.m.</v>
      </c>
      <c r="E11" s="45" t="str">
        <f>IFERROR(__xludf.DUMMYFUNCTION("""COMPUTED_VALUE"""),"Flying")</f>
        <v>Flying</v>
      </c>
      <c r="F11" s="45"/>
      <c r="G11" s="45"/>
      <c r="H11" s="45" t="b">
        <f>IFERROR(__xludf.DUMMYFUNCTION("""COMPUTED_VALUE"""),TRUE)</f>
        <v>1</v>
      </c>
      <c r="I11" s="45" t="b">
        <f>IFERROR(__xludf.DUMMYFUNCTION("""COMPUTED_VALUE"""),TRUE)</f>
        <v>1</v>
      </c>
      <c r="J11" s="45" t="b">
        <f>IFERROR(__xludf.DUMMYFUNCTION("""COMPUTED_VALUE"""),TRUE)</f>
        <v>1</v>
      </c>
      <c r="K11" s="45" t="b">
        <f>IFERROR(__xludf.DUMMYFUNCTION("""COMPUTED_VALUE"""),FALSE)</f>
        <v>0</v>
      </c>
      <c r="L11" s="45" t="b">
        <f>IFERROR(__xludf.DUMMYFUNCTION("""COMPUTED_VALUE"""),FALSE)</f>
        <v>0</v>
      </c>
      <c r="M11" s="45" t="b">
        <f>IFERROR(__xludf.DUMMYFUNCTION("""COMPUTED_VALUE"""),TRUE)</f>
        <v>1</v>
      </c>
      <c r="N11" s="45" t="b">
        <f>IFERROR(__xludf.DUMMYFUNCTION("""COMPUTED_VALUE"""),TRUE)</f>
        <v>1</v>
      </c>
      <c r="O11" s="45" t="b">
        <f>IFERROR(__xludf.DUMMYFUNCTION("""COMPUTED_VALUE"""),TRUE)</f>
        <v>1</v>
      </c>
      <c r="P11" s="45" t="b">
        <f>IFERROR(__xludf.DUMMYFUNCTION("""COMPUTED_VALUE"""),TRUE)</f>
        <v>1</v>
      </c>
      <c r="Q11" s="45" t="b">
        <f>IFERROR(__xludf.DUMMYFUNCTION("""COMPUTED_VALUE"""),FALSE)</f>
        <v>0</v>
      </c>
      <c r="R11" s="45" t="b">
        <f>IFERROR(__xludf.DUMMYFUNCTION("""COMPUTED_VALUE"""),FALSE)</f>
        <v>0</v>
      </c>
      <c r="S11" s="45" t="b">
        <f>IFERROR(__xludf.DUMMYFUNCTION("""COMPUTED_VALUE"""),TRUE)</f>
        <v>1</v>
      </c>
      <c r="T11" s="45"/>
      <c r="U11" s="45" t="b">
        <f>IFERROR(__xludf.DUMMYFUNCTION("""COMPUTED_VALUE"""),TRUE)</f>
        <v>1</v>
      </c>
      <c r="V11" s="45" t="b">
        <f>IFERROR(__xludf.DUMMYFUNCTION("""COMPUTED_VALUE"""),TRUE)</f>
        <v>1</v>
      </c>
      <c r="W11" s="45" t="b">
        <f>IFERROR(__xludf.DUMMYFUNCTION("""COMPUTED_VALUE"""),TRUE)</f>
        <v>1</v>
      </c>
      <c r="X11" s="45" t="b">
        <f>IFERROR(__xludf.DUMMYFUNCTION("""COMPUTED_VALUE"""),FALSE)</f>
        <v>0</v>
      </c>
      <c r="Y11" s="45" t="b">
        <f>IFERROR(__xludf.DUMMYFUNCTION("""COMPUTED_VALUE"""),FALSE)</f>
        <v>0</v>
      </c>
      <c r="Z11" s="45" t="b">
        <f>IFERROR(__xludf.DUMMYFUNCTION("""COMPUTED_VALUE"""),TRUE)</f>
        <v>1</v>
      </c>
      <c r="AA11" s="45" t="b">
        <f>IFERROR(__xludf.DUMMYFUNCTION("""COMPUTED_VALUE"""),TRUE)</f>
        <v>1</v>
      </c>
      <c r="AB11" s="45" t="b">
        <f>IFERROR(__xludf.DUMMYFUNCTION("""COMPUTED_VALUE"""),TRUE)</f>
        <v>1</v>
      </c>
      <c r="AC11" s="45" t="b">
        <f>IFERROR(__xludf.DUMMYFUNCTION("""COMPUTED_VALUE"""),TRUE)</f>
        <v>1</v>
      </c>
      <c r="AD11" s="45" t="b">
        <f>IFERROR(__xludf.DUMMYFUNCTION("""COMPUTED_VALUE"""),FALSE)</f>
        <v>0</v>
      </c>
      <c r="AE11" s="45" t="b">
        <f>IFERROR(__xludf.DUMMYFUNCTION("""COMPUTED_VALUE"""),FALSE)</f>
        <v>0</v>
      </c>
      <c r="AF11" s="45" t="b">
        <f>IFERROR(__xludf.DUMMYFUNCTION("""COMPUTED_VALUE"""),TRUE)</f>
        <v>1</v>
      </c>
    </row>
    <row r="12">
      <c r="A12" s="45" t="b">
        <v>0</v>
      </c>
      <c r="B12" s="45" t="str">
        <f>IFERROR(__xludf.DUMMYFUNCTION("""COMPUTED_VALUE"""),"Agrias butterfly")</f>
        <v>Agrias butterfly</v>
      </c>
      <c r="C12" s="45">
        <f>IFERROR(__xludf.DUMMYFUNCTION("""COMPUTED_VALUE"""),3000.0)</f>
        <v>3000</v>
      </c>
      <c r="D12" s="45" t="str">
        <f>IFERROR(__xludf.DUMMYFUNCTION("""COMPUTED_VALUE"""),"8 a.m. - 5 p.m.")</f>
        <v>8 a.m. - 5 p.m.</v>
      </c>
      <c r="E12" s="45" t="str">
        <f>IFERROR(__xludf.DUMMYFUNCTION("""COMPUTED_VALUE"""),"Flying")</f>
        <v>Flying</v>
      </c>
      <c r="F12" s="45"/>
      <c r="G12" s="45"/>
      <c r="H12" s="45" t="b">
        <f>IFERROR(__xludf.DUMMYFUNCTION("""COMPUTED_VALUE"""),FALSE)</f>
        <v>0</v>
      </c>
      <c r="I12" s="45" t="b">
        <f>IFERROR(__xludf.DUMMYFUNCTION("""COMPUTED_VALUE"""),FALSE)</f>
        <v>0</v>
      </c>
      <c r="J12" s="45" t="b">
        <f>IFERROR(__xludf.DUMMYFUNCTION("""COMPUTED_VALUE"""),FALSE)</f>
        <v>0</v>
      </c>
      <c r="K12" s="45" t="b">
        <f>IFERROR(__xludf.DUMMYFUNCTION("""COMPUTED_VALUE"""),TRUE)</f>
        <v>1</v>
      </c>
      <c r="L12" s="45" t="b">
        <f>IFERROR(__xludf.DUMMYFUNCTION("""COMPUTED_VALUE"""),TRUE)</f>
        <v>1</v>
      </c>
      <c r="M12" s="45" t="b">
        <f>IFERROR(__xludf.DUMMYFUNCTION("""COMPUTED_VALUE"""),TRUE)</f>
        <v>1</v>
      </c>
      <c r="N12" s="45" t="b">
        <f>IFERROR(__xludf.DUMMYFUNCTION("""COMPUTED_VALUE"""),TRUE)</f>
        <v>1</v>
      </c>
      <c r="O12" s="45" t="b">
        <f>IFERROR(__xludf.DUMMYFUNCTION("""COMPUTED_VALUE"""),TRUE)</f>
        <v>1</v>
      </c>
      <c r="P12" s="45" t="b">
        <f>IFERROR(__xludf.DUMMYFUNCTION("""COMPUTED_VALUE"""),TRUE)</f>
        <v>1</v>
      </c>
      <c r="Q12" s="45" t="b">
        <f>IFERROR(__xludf.DUMMYFUNCTION("""COMPUTED_VALUE"""),FALSE)</f>
        <v>0</v>
      </c>
      <c r="R12" s="45" t="b">
        <f>IFERROR(__xludf.DUMMYFUNCTION("""COMPUTED_VALUE"""),FALSE)</f>
        <v>0</v>
      </c>
      <c r="S12" s="45" t="b">
        <f>IFERROR(__xludf.DUMMYFUNCTION("""COMPUTED_VALUE"""),FALSE)</f>
        <v>0</v>
      </c>
      <c r="T12" s="45"/>
      <c r="U12" s="45" t="b">
        <f>IFERROR(__xludf.DUMMYFUNCTION("""COMPUTED_VALUE"""),TRUE)</f>
        <v>1</v>
      </c>
      <c r="V12" s="45" t="b">
        <f>IFERROR(__xludf.DUMMYFUNCTION("""COMPUTED_VALUE"""),TRUE)</f>
        <v>1</v>
      </c>
      <c r="W12" s="45" t="b">
        <f>IFERROR(__xludf.DUMMYFUNCTION("""COMPUTED_VALUE"""),TRUE)</f>
        <v>1</v>
      </c>
      <c r="X12" s="45" t="b">
        <f>IFERROR(__xludf.DUMMYFUNCTION("""COMPUTED_VALUE"""),FALSE)</f>
        <v>0</v>
      </c>
      <c r="Y12" s="45" t="b">
        <f>IFERROR(__xludf.DUMMYFUNCTION("""COMPUTED_VALUE"""),FALSE)</f>
        <v>0</v>
      </c>
      <c r="Z12" s="45" t="b">
        <f>IFERROR(__xludf.DUMMYFUNCTION("""COMPUTED_VALUE"""),FALSE)</f>
        <v>0</v>
      </c>
      <c r="AA12" s="45" t="b">
        <f>IFERROR(__xludf.DUMMYFUNCTION("""COMPUTED_VALUE"""),FALSE)</f>
        <v>0</v>
      </c>
      <c r="AB12" s="45" t="b">
        <f>IFERROR(__xludf.DUMMYFUNCTION("""COMPUTED_VALUE"""),FALSE)</f>
        <v>0</v>
      </c>
      <c r="AC12" s="45" t="b">
        <f>IFERROR(__xludf.DUMMYFUNCTION("""COMPUTED_VALUE"""),FALSE)</f>
        <v>0</v>
      </c>
      <c r="AD12" s="45" t="b">
        <f>IFERROR(__xludf.DUMMYFUNCTION("""COMPUTED_VALUE"""),TRUE)</f>
        <v>1</v>
      </c>
      <c r="AE12" s="45" t="b">
        <f>IFERROR(__xludf.DUMMYFUNCTION("""COMPUTED_VALUE"""),TRUE)</f>
        <v>1</v>
      </c>
      <c r="AF12" s="45" t="b">
        <f>IFERROR(__xludf.DUMMYFUNCTION("""COMPUTED_VALUE"""),TRUE)</f>
        <v>1</v>
      </c>
    </row>
    <row r="13">
      <c r="A13" s="45" t="b">
        <v>0</v>
      </c>
      <c r="B13" s="45" t="str">
        <f>IFERROR(__xludf.DUMMYFUNCTION("""COMPUTED_VALUE"""),"Rajah brooke's birdwing")</f>
        <v>Rajah brooke's birdwing</v>
      </c>
      <c r="C13" s="45">
        <f>IFERROR(__xludf.DUMMYFUNCTION("""COMPUTED_VALUE"""),2500.0)</f>
        <v>2500</v>
      </c>
      <c r="D13" s="45" t="str">
        <f>IFERROR(__xludf.DUMMYFUNCTION("""COMPUTED_VALUE"""),"8 a.m. - 5 p.m.")</f>
        <v>8 a.m. - 5 p.m.</v>
      </c>
      <c r="E13" s="45" t="str">
        <f>IFERROR(__xludf.DUMMYFUNCTION("""COMPUTED_VALUE"""),"Flying")</f>
        <v>Flying</v>
      </c>
      <c r="F13" s="45"/>
      <c r="G13" s="45"/>
      <c r="H13" s="45" t="b">
        <f>IFERROR(__xludf.DUMMYFUNCTION("""COMPUTED_VALUE"""),TRUE)</f>
        <v>1</v>
      </c>
      <c r="I13" s="45" t="b">
        <f>IFERROR(__xludf.DUMMYFUNCTION("""COMPUTED_VALUE"""),TRUE)</f>
        <v>1</v>
      </c>
      <c r="J13" s="45" t="b">
        <f>IFERROR(__xludf.DUMMYFUNCTION("""COMPUTED_VALUE"""),FALSE)</f>
        <v>0</v>
      </c>
      <c r="K13" s="45" t="b">
        <f>IFERROR(__xludf.DUMMYFUNCTION("""COMPUTED_VALUE"""),TRUE)</f>
        <v>1</v>
      </c>
      <c r="L13" s="45" t="b">
        <f>IFERROR(__xludf.DUMMYFUNCTION("""COMPUTED_VALUE"""),TRUE)</f>
        <v>1</v>
      </c>
      <c r="M13" s="45" t="b">
        <f>IFERROR(__xludf.DUMMYFUNCTION("""COMPUTED_VALUE"""),TRUE)</f>
        <v>1</v>
      </c>
      <c r="N13" s="45" t="b">
        <f>IFERROR(__xludf.DUMMYFUNCTION("""COMPUTED_VALUE"""),TRUE)</f>
        <v>1</v>
      </c>
      <c r="O13" s="45" t="b">
        <f>IFERROR(__xludf.DUMMYFUNCTION("""COMPUTED_VALUE"""),TRUE)</f>
        <v>1</v>
      </c>
      <c r="P13" s="45" t="b">
        <f>IFERROR(__xludf.DUMMYFUNCTION("""COMPUTED_VALUE"""),TRUE)</f>
        <v>1</v>
      </c>
      <c r="Q13" s="45" t="b">
        <f>IFERROR(__xludf.DUMMYFUNCTION("""COMPUTED_VALUE"""),FALSE)</f>
        <v>0</v>
      </c>
      <c r="R13" s="45" t="b">
        <f>IFERROR(__xludf.DUMMYFUNCTION("""COMPUTED_VALUE"""),FALSE)</f>
        <v>0</v>
      </c>
      <c r="S13" s="45" t="b">
        <f>IFERROR(__xludf.DUMMYFUNCTION("""COMPUTED_VALUE"""),TRUE)</f>
        <v>1</v>
      </c>
      <c r="T13" s="45"/>
      <c r="U13" s="45" t="b">
        <f>IFERROR(__xludf.DUMMYFUNCTION("""COMPUTED_VALUE"""),TRUE)</f>
        <v>1</v>
      </c>
      <c r="V13" s="45" t="b">
        <f>IFERROR(__xludf.DUMMYFUNCTION("""COMPUTED_VALUE"""),TRUE)</f>
        <v>1</v>
      </c>
      <c r="W13" s="45" t="b">
        <f>IFERROR(__xludf.DUMMYFUNCTION("""COMPUTED_VALUE"""),TRUE)</f>
        <v>1</v>
      </c>
      <c r="X13" s="45" t="b">
        <f>IFERROR(__xludf.DUMMYFUNCTION("""COMPUTED_VALUE"""),FALSE)</f>
        <v>0</v>
      </c>
      <c r="Y13" s="45" t="b">
        <f>IFERROR(__xludf.DUMMYFUNCTION("""COMPUTED_VALUE"""),FALSE)</f>
        <v>0</v>
      </c>
      <c r="Z13" s="45" t="b">
        <f>IFERROR(__xludf.DUMMYFUNCTION("""COMPUTED_VALUE"""),TRUE)</f>
        <v>1</v>
      </c>
      <c r="AA13" s="45" t="b">
        <f>IFERROR(__xludf.DUMMYFUNCTION("""COMPUTED_VALUE"""),TRUE)</f>
        <v>1</v>
      </c>
      <c r="AB13" s="45" t="b">
        <f>IFERROR(__xludf.DUMMYFUNCTION("""COMPUTED_VALUE"""),TRUE)</f>
        <v>1</v>
      </c>
      <c r="AC13" s="45" t="b">
        <f>IFERROR(__xludf.DUMMYFUNCTION("""COMPUTED_VALUE"""),FALSE)</f>
        <v>0</v>
      </c>
      <c r="AD13" s="45" t="b">
        <f>IFERROR(__xludf.DUMMYFUNCTION("""COMPUTED_VALUE"""),TRUE)</f>
        <v>1</v>
      </c>
      <c r="AE13" s="45" t="b">
        <f>IFERROR(__xludf.DUMMYFUNCTION("""COMPUTED_VALUE"""),TRUE)</f>
        <v>1</v>
      </c>
      <c r="AF13" s="45" t="b">
        <f>IFERROR(__xludf.DUMMYFUNCTION("""COMPUTED_VALUE"""),TRUE)</f>
        <v>1</v>
      </c>
    </row>
    <row r="14">
      <c r="A14" s="45" t="b">
        <v>0</v>
      </c>
      <c r="B14" s="45" t="str">
        <f>IFERROR(__xludf.DUMMYFUNCTION("""COMPUTED_VALUE"""),"Queen Alexandra's birdwing")</f>
        <v>Queen Alexandra's birdwing</v>
      </c>
      <c r="C14" s="45">
        <f>IFERROR(__xludf.DUMMYFUNCTION("""COMPUTED_VALUE"""),4000.0)</f>
        <v>4000</v>
      </c>
      <c r="D14" s="45" t="str">
        <f>IFERROR(__xludf.DUMMYFUNCTION("""COMPUTED_VALUE"""),"8 a.m. - 4 p.m.")</f>
        <v>8 a.m. - 4 p.m.</v>
      </c>
      <c r="E14" s="45" t="str">
        <f>IFERROR(__xludf.DUMMYFUNCTION("""COMPUTED_VALUE"""),"Flying")</f>
        <v>Flying</v>
      </c>
      <c r="F14" s="45"/>
      <c r="G14" s="45"/>
      <c r="H14" s="45" t="b">
        <f>IFERROR(__xludf.DUMMYFUNCTION("""COMPUTED_VALUE"""),FALSE)</f>
        <v>0</v>
      </c>
      <c r="I14" s="45" t="b">
        <f>IFERROR(__xludf.DUMMYFUNCTION("""COMPUTED_VALUE"""),FALSE)</f>
        <v>0</v>
      </c>
      <c r="J14" s="45" t="b">
        <f>IFERROR(__xludf.DUMMYFUNCTION("""COMPUTED_VALUE"""),FALSE)</f>
        <v>0</v>
      </c>
      <c r="K14" s="45" t="b">
        <f>IFERROR(__xludf.DUMMYFUNCTION("""COMPUTED_VALUE"""),FALSE)</f>
        <v>0</v>
      </c>
      <c r="L14" s="45" t="b">
        <f>IFERROR(__xludf.DUMMYFUNCTION("""COMPUTED_VALUE"""),TRUE)</f>
        <v>1</v>
      </c>
      <c r="M14" s="45" t="b">
        <f>IFERROR(__xludf.DUMMYFUNCTION("""COMPUTED_VALUE"""),TRUE)</f>
        <v>1</v>
      </c>
      <c r="N14" s="45" t="b">
        <f>IFERROR(__xludf.DUMMYFUNCTION("""COMPUTED_VALUE"""),TRUE)</f>
        <v>1</v>
      </c>
      <c r="O14" s="45" t="b">
        <f>IFERROR(__xludf.DUMMYFUNCTION("""COMPUTED_VALUE"""),TRUE)</f>
        <v>1</v>
      </c>
      <c r="P14" s="45" t="b">
        <f>IFERROR(__xludf.DUMMYFUNCTION("""COMPUTED_VALUE"""),TRUE)</f>
        <v>1</v>
      </c>
      <c r="Q14" s="45" t="b">
        <f>IFERROR(__xludf.DUMMYFUNCTION("""COMPUTED_VALUE"""),FALSE)</f>
        <v>0</v>
      </c>
      <c r="R14" s="45" t="b">
        <f>IFERROR(__xludf.DUMMYFUNCTION("""COMPUTED_VALUE"""),FALSE)</f>
        <v>0</v>
      </c>
      <c r="S14" s="45" t="b">
        <f>IFERROR(__xludf.DUMMYFUNCTION("""COMPUTED_VALUE"""),FALSE)</f>
        <v>0</v>
      </c>
      <c r="T14" s="45"/>
      <c r="U14" s="45" t="b">
        <f>IFERROR(__xludf.DUMMYFUNCTION("""COMPUTED_VALUE"""),TRUE)</f>
        <v>1</v>
      </c>
      <c r="V14" s="45" t="b">
        <f>IFERROR(__xludf.DUMMYFUNCTION("""COMPUTED_VALUE"""),TRUE)</f>
        <v>1</v>
      </c>
      <c r="W14" s="45" t="b">
        <f>IFERROR(__xludf.DUMMYFUNCTION("""COMPUTED_VALUE"""),TRUE)</f>
        <v>1</v>
      </c>
      <c r="X14" s="45" t="b">
        <f>IFERROR(__xludf.DUMMYFUNCTION("""COMPUTED_VALUE"""),FALSE)</f>
        <v>0</v>
      </c>
      <c r="Y14" s="45" t="b">
        <f>IFERROR(__xludf.DUMMYFUNCTION("""COMPUTED_VALUE"""),FALSE)</f>
        <v>0</v>
      </c>
      <c r="Z14" s="45" t="b">
        <f>IFERROR(__xludf.DUMMYFUNCTION("""COMPUTED_VALUE"""),FALSE)</f>
        <v>0</v>
      </c>
      <c r="AA14" s="45" t="b">
        <f>IFERROR(__xludf.DUMMYFUNCTION("""COMPUTED_VALUE"""),FALSE)</f>
        <v>0</v>
      </c>
      <c r="AB14" s="45" t="b">
        <f>IFERROR(__xludf.DUMMYFUNCTION("""COMPUTED_VALUE"""),FALSE)</f>
        <v>0</v>
      </c>
      <c r="AC14" s="45" t="b">
        <f>IFERROR(__xludf.DUMMYFUNCTION("""COMPUTED_VALUE"""),FALSE)</f>
        <v>0</v>
      </c>
      <c r="AD14" s="45" t="b">
        <f>IFERROR(__xludf.DUMMYFUNCTION("""COMPUTED_VALUE"""),FALSE)</f>
        <v>0</v>
      </c>
      <c r="AE14" s="45" t="b">
        <f>IFERROR(__xludf.DUMMYFUNCTION("""COMPUTED_VALUE"""),TRUE)</f>
        <v>1</v>
      </c>
      <c r="AF14" s="45" t="b">
        <f>IFERROR(__xludf.DUMMYFUNCTION("""COMPUTED_VALUE"""),TRUE)</f>
        <v>1</v>
      </c>
    </row>
    <row r="15">
      <c r="A15" s="45" t="b">
        <v>0</v>
      </c>
      <c r="B15" s="45" t="str">
        <f>IFERROR(__xludf.DUMMYFUNCTION("""COMPUTED_VALUE"""),"Moth")</f>
        <v>Moth</v>
      </c>
      <c r="C15" s="45">
        <f>IFERROR(__xludf.DUMMYFUNCTION("""COMPUTED_VALUE"""),130.0)</f>
        <v>130</v>
      </c>
      <c r="D15" s="45" t="str">
        <f>IFERROR(__xludf.DUMMYFUNCTION("""COMPUTED_VALUE"""),"7 p.m. - 4 a.m.")</f>
        <v>7 p.m. - 4 a.m.</v>
      </c>
      <c r="E15" s="45" t="str">
        <f>IFERROR(__xludf.DUMMYFUNCTION("""COMPUTED_VALUE"""),"Flying by light")</f>
        <v>Flying by light</v>
      </c>
      <c r="F15" s="45"/>
      <c r="G15" s="45"/>
      <c r="H15" s="45" t="b">
        <f>IFERROR(__xludf.DUMMYFUNCTION("""COMPUTED_VALUE"""),TRUE)</f>
        <v>1</v>
      </c>
      <c r="I15" s="45" t="b">
        <f>IFERROR(__xludf.DUMMYFUNCTION("""COMPUTED_VALUE"""),TRUE)</f>
        <v>1</v>
      </c>
      <c r="J15" s="45" t="b">
        <f>IFERROR(__xludf.DUMMYFUNCTION("""COMPUTED_VALUE"""),TRUE)</f>
        <v>1</v>
      </c>
      <c r="K15" s="45" t="b">
        <f>IFERROR(__xludf.DUMMYFUNCTION("""COMPUTED_VALUE"""),TRUE)</f>
        <v>1</v>
      </c>
      <c r="L15" s="45" t="b">
        <f>IFERROR(__xludf.DUMMYFUNCTION("""COMPUTED_VALUE"""),TRUE)</f>
        <v>1</v>
      </c>
      <c r="M15" s="45" t="b">
        <f>IFERROR(__xludf.DUMMYFUNCTION("""COMPUTED_VALUE"""),TRUE)</f>
        <v>1</v>
      </c>
      <c r="N15" s="45" t="b">
        <f>IFERROR(__xludf.DUMMYFUNCTION("""COMPUTED_VALUE"""),TRUE)</f>
        <v>1</v>
      </c>
      <c r="O15" s="45" t="b">
        <f>IFERROR(__xludf.DUMMYFUNCTION("""COMPUTED_VALUE"""),TRUE)</f>
        <v>1</v>
      </c>
      <c r="P15" s="45" t="b">
        <f>IFERROR(__xludf.DUMMYFUNCTION("""COMPUTED_VALUE"""),TRUE)</f>
        <v>1</v>
      </c>
      <c r="Q15" s="45" t="b">
        <f>IFERROR(__xludf.DUMMYFUNCTION("""COMPUTED_VALUE"""),TRUE)</f>
        <v>1</v>
      </c>
      <c r="R15" s="45" t="b">
        <f>IFERROR(__xludf.DUMMYFUNCTION("""COMPUTED_VALUE"""),TRUE)</f>
        <v>1</v>
      </c>
      <c r="S15" s="45" t="b">
        <f>IFERROR(__xludf.DUMMYFUNCTION("""COMPUTED_VALUE"""),TRUE)</f>
        <v>1</v>
      </c>
      <c r="T15" s="45"/>
      <c r="U15" s="45" t="b">
        <f>IFERROR(__xludf.DUMMYFUNCTION("""COMPUTED_VALUE"""),TRUE)</f>
        <v>1</v>
      </c>
      <c r="V15" s="45" t="b">
        <f>IFERROR(__xludf.DUMMYFUNCTION("""COMPUTED_VALUE"""),TRUE)</f>
        <v>1</v>
      </c>
      <c r="W15" s="45" t="b">
        <f>IFERROR(__xludf.DUMMYFUNCTION("""COMPUTED_VALUE"""),TRUE)</f>
        <v>1</v>
      </c>
      <c r="X15" s="45" t="b">
        <f>IFERROR(__xludf.DUMMYFUNCTION("""COMPUTED_VALUE"""),TRUE)</f>
        <v>1</v>
      </c>
      <c r="Y15" s="45" t="b">
        <f>IFERROR(__xludf.DUMMYFUNCTION("""COMPUTED_VALUE"""),TRUE)</f>
        <v>1</v>
      </c>
      <c r="Z15" s="45" t="b">
        <f>IFERROR(__xludf.DUMMYFUNCTION("""COMPUTED_VALUE"""),TRUE)</f>
        <v>1</v>
      </c>
      <c r="AA15" s="45" t="b">
        <f>IFERROR(__xludf.DUMMYFUNCTION("""COMPUTED_VALUE"""),TRUE)</f>
        <v>1</v>
      </c>
      <c r="AB15" s="45" t="b">
        <f>IFERROR(__xludf.DUMMYFUNCTION("""COMPUTED_VALUE"""),TRUE)</f>
        <v>1</v>
      </c>
      <c r="AC15" s="45" t="b">
        <f>IFERROR(__xludf.DUMMYFUNCTION("""COMPUTED_VALUE"""),TRUE)</f>
        <v>1</v>
      </c>
      <c r="AD15" s="45" t="b">
        <f>IFERROR(__xludf.DUMMYFUNCTION("""COMPUTED_VALUE"""),TRUE)</f>
        <v>1</v>
      </c>
      <c r="AE15" s="45" t="b">
        <f>IFERROR(__xludf.DUMMYFUNCTION("""COMPUTED_VALUE"""),TRUE)</f>
        <v>1</v>
      </c>
      <c r="AF15" s="45" t="b">
        <f>IFERROR(__xludf.DUMMYFUNCTION("""COMPUTED_VALUE"""),TRUE)</f>
        <v>1</v>
      </c>
    </row>
    <row r="16">
      <c r="A16" s="45" t="b">
        <v>0</v>
      </c>
      <c r="B16" s="45" t="str">
        <f>IFERROR(__xludf.DUMMYFUNCTION("""COMPUTED_VALUE"""),"Atlas moth")</f>
        <v>Atlas moth</v>
      </c>
      <c r="C16" s="45">
        <f>IFERROR(__xludf.DUMMYFUNCTION("""COMPUTED_VALUE"""),3000.0)</f>
        <v>3000</v>
      </c>
      <c r="D16" s="45" t="str">
        <f>IFERROR(__xludf.DUMMYFUNCTION("""COMPUTED_VALUE"""),"7 p.m. - 4 a.m.")</f>
        <v>7 p.m. - 4 a.m.</v>
      </c>
      <c r="E16" s="45" t="str">
        <f>IFERROR(__xludf.DUMMYFUNCTION("""COMPUTED_VALUE"""),"On trees")</f>
        <v>On trees</v>
      </c>
      <c r="F16" s="45"/>
      <c r="G16" s="45"/>
      <c r="H16" s="45" t="b">
        <f>IFERROR(__xludf.DUMMYFUNCTION("""COMPUTED_VALUE"""),FALSE)</f>
        <v>0</v>
      </c>
      <c r="I16" s="45" t="b">
        <f>IFERROR(__xludf.DUMMYFUNCTION("""COMPUTED_VALUE"""),FALSE)</f>
        <v>0</v>
      </c>
      <c r="J16" s="45" t="b">
        <f>IFERROR(__xludf.DUMMYFUNCTION("""COMPUTED_VALUE"""),FALSE)</f>
        <v>0</v>
      </c>
      <c r="K16" s="45" t="b">
        <f>IFERROR(__xludf.DUMMYFUNCTION("""COMPUTED_VALUE"""),TRUE)</f>
        <v>1</v>
      </c>
      <c r="L16" s="45" t="b">
        <f>IFERROR(__xludf.DUMMYFUNCTION("""COMPUTED_VALUE"""),TRUE)</f>
        <v>1</v>
      </c>
      <c r="M16" s="45" t="b">
        <f>IFERROR(__xludf.DUMMYFUNCTION("""COMPUTED_VALUE"""),TRUE)</f>
        <v>1</v>
      </c>
      <c r="N16" s="45" t="b">
        <f>IFERROR(__xludf.DUMMYFUNCTION("""COMPUTED_VALUE"""),TRUE)</f>
        <v>1</v>
      </c>
      <c r="O16" s="45" t="b">
        <f>IFERROR(__xludf.DUMMYFUNCTION("""COMPUTED_VALUE"""),TRUE)</f>
        <v>1</v>
      </c>
      <c r="P16" s="45" t="b">
        <f>IFERROR(__xludf.DUMMYFUNCTION("""COMPUTED_VALUE"""),TRUE)</f>
        <v>1</v>
      </c>
      <c r="Q16" s="45" t="b">
        <f>IFERROR(__xludf.DUMMYFUNCTION("""COMPUTED_VALUE"""),FALSE)</f>
        <v>0</v>
      </c>
      <c r="R16" s="45" t="b">
        <f>IFERROR(__xludf.DUMMYFUNCTION("""COMPUTED_VALUE"""),FALSE)</f>
        <v>0</v>
      </c>
      <c r="S16" s="45" t="b">
        <f>IFERROR(__xludf.DUMMYFUNCTION("""COMPUTED_VALUE"""),FALSE)</f>
        <v>0</v>
      </c>
      <c r="T16" s="45"/>
      <c r="U16" s="45" t="b">
        <f>IFERROR(__xludf.DUMMYFUNCTION("""COMPUTED_VALUE"""),TRUE)</f>
        <v>1</v>
      </c>
      <c r="V16" s="45" t="b">
        <f>IFERROR(__xludf.DUMMYFUNCTION("""COMPUTED_VALUE"""),TRUE)</f>
        <v>1</v>
      </c>
      <c r="W16" s="45" t="b">
        <f>IFERROR(__xludf.DUMMYFUNCTION("""COMPUTED_VALUE"""),TRUE)</f>
        <v>1</v>
      </c>
      <c r="X16" s="45" t="b">
        <f>IFERROR(__xludf.DUMMYFUNCTION("""COMPUTED_VALUE"""),FALSE)</f>
        <v>0</v>
      </c>
      <c r="Y16" s="45" t="b">
        <f>IFERROR(__xludf.DUMMYFUNCTION("""COMPUTED_VALUE"""),FALSE)</f>
        <v>0</v>
      </c>
      <c r="Z16" s="45" t="b">
        <f>IFERROR(__xludf.DUMMYFUNCTION("""COMPUTED_VALUE"""),FALSE)</f>
        <v>0</v>
      </c>
      <c r="AA16" s="45" t="b">
        <f>IFERROR(__xludf.DUMMYFUNCTION("""COMPUTED_VALUE"""),FALSE)</f>
        <v>0</v>
      </c>
      <c r="AB16" s="45" t="b">
        <f>IFERROR(__xludf.DUMMYFUNCTION("""COMPUTED_VALUE"""),FALSE)</f>
        <v>0</v>
      </c>
      <c r="AC16" s="45" t="b">
        <f>IFERROR(__xludf.DUMMYFUNCTION("""COMPUTED_VALUE"""),FALSE)</f>
        <v>0</v>
      </c>
      <c r="AD16" s="45" t="b">
        <f>IFERROR(__xludf.DUMMYFUNCTION("""COMPUTED_VALUE"""),TRUE)</f>
        <v>1</v>
      </c>
      <c r="AE16" s="45" t="b">
        <f>IFERROR(__xludf.DUMMYFUNCTION("""COMPUTED_VALUE"""),TRUE)</f>
        <v>1</v>
      </c>
      <c r="AF16" s="45" t="b">
        <f>IFERROR(__xludf.DUMMYFUNCTION("""COMPUTED_VALUE"""),TRUE)</f>
        <v>1</v>
      </c>
    </row>
    <row r="17">
      <c r="A17" s="45" t="b">
        <v>0</v>
      </c>
      <c r="B17" s="45" t="str">
        <f>IFERROR(__xludf.DUMMYFUNCTION("""COMPUTED_VALUE"""),"Madagascan sunset moth")</f>
        <v>Madagascan sunset moth</v>
      </c>
      <c r="C17" s="45">
        <f>IFERROR(__xludf.DUMMYFUNCTION("""COMPUTED_VALUE"""),2500.0)</f>
        <v>2500</v>
      </c>
      <c r="D17" s="45" t="str">
        <f>IFERROR(__xludf.DUMMYFUNCTION("""COMPUTED_VALUE"""),"8 a.m. - 4 p.m.")</f>
        <v>8 a.m. - 4 p.m.</v>
      </c>
      <c r="E17" s="45" t="str">
        <f>IFERROR(__xludf.DUMMYFUNCTION("""COMPUTED_VALUE"""),"Flying")</f>
        <v>Flying</v>
      </c>
      <c r="F17" s="45"/>
      <c r="G17" s="45"/>
      <c r="H17" s="45" t="b">
        <f>IFERROR(__xludf.DUMMYFUNCTION("""COMPUTED_VALUE"""),FALSE)</f>
        <v>0</v>
      </c>
      <c r="I17" s="45" t="b">
        <f>IFERROR(__xludf.DUMMYFUNCTION("""COMPUTED_VALUE"""),FALSE)</f>
        <v>0</v>
      </c>
      <c r="J17" s="45" t="b">
        <f>IFERROR(__xludf.DUMMYFUNCTION("""COMPUTED_VALUE"""),FALSE)</f>
        <v>0</v>
      </c>
      <c r="K17" s="45" t="b">
        <f>IFERROR(__xludf.DUMMYFUNCTION("""COMPUTED_VALUE"""),TRUE)</f>
        <v>1</v>
      </c>
      <c r="L17" s="45" t="b">
        <f>IFERROR(__xludf.DUMMYFUNCTION("""COMPUTED_VALUE"""),TRUE)</f>
        <v>1</v>
      </c>
      <c r="M17" s="45" t="b">
        <f>IFERROR(__xludf.DUMMYFUNCTION("""COMPUTED_VALUE"""),TRUE)</f>
        <v>1</v>
      </c>
      <c r="N17" s="45" t="b">
        <f>IFERROR(__xludf.DUMMYFUNCTION("""COMPUTED_VALUE"""),TRUE)</f>
        <v>1</v>
      </c>
      <c r="O17" s="45" t="b">
        <f>IFERROR(__xludf.DUMMYFUNCTION("""COMPUTED_VALUE"""),TRUE)</f>
        <v>1</v>
      </c>
      <c r="P17" s="45" t="b">
        <f>IFERROR(__xludf.DUMMYFUNCTION("""COMPUTED_VALUE"""),TRUE)</f>
        <v>1</v>
      </c>
      <c r="Q17" s="45" t="b">
        <f>IFERROR(__xludf.DUMMYFUNCTION("""COMPUTED_VALUE"""),FALSE)</f>
        <v>0</v>
      </c>
      <c r="R17" s="45" t="b">
        <f>IFERROR(__xludf.DUMMYFUNCTION("""COMPUTED_VALUE"""),FALSE)</f>
        <v>0</v>
      </c>
      <c r="S17" s="45" t="b">
        <f>IFERROR(__xludf.DUMMYFUNCTION("""COMPUTED_VALUE"""),FALSE)</f>
        <v>0</v>
      </c>
      <c r="T17" s="45"/>
      <c r="U17" s="45" t="b">
        <f>IFERROR(__xludf.DUMMYFUNCTION("""COMPUTED_VALUE"""),TRUE)</f>
        <v>1</v>
      </c>
      <c r="V17" s="45" t="b">
        <f>IFERROR(__xludf.DUMMYFUNCTION("""COMPUTED_VALUE"""),TRUE)</f>
        <v>1</v>
      </c>
      <c r="W17" s="45" t="b">
        <f>IFERROR(__xludf.DUMMYFUNCTION("""COMPUTED_VALUE"""),TRUE)</f>
        <v>1</v>
      </c>
      <c r="X17" s="45" t="b">
        <f>IFERROR(__xludf.DUMMYFUNCTION("""COMPUTED_VALUE"""),FALSE)</f>
        <v>0</v>
      </c>
      <c r="Y17" s="45" t="b">
        <f>IFERROR(__xludf.DUMMYFUNCTION("""COMPUTED_VALUE"""),FALSE)</f>
        <v>0</v>
      </c>
      <c r="Z17" s="45" t="b">
        <f>IFERROR(__xludf.DUMMYFUNCTION("""COMPUTED_VALUE"""),FALSE)</f>
        <v>0</v>
      </c>
      <c r="AA17" s="45" t="b">
        <f>IFERROR(__xludf.DUMMYFUNCTION("""COMPUTED_VALUE"""),FALSE)</f>
        <v>0</v>
      </c>
      <c r="AB17" s="45" t="b">
        <f>IFERROR(__xludf.DUMMYFUNCTION("""COMPUTED_VALUE"""),FALSE)</f>
        <v>0</v>
      </c>
      <c r="AC17" s="45" t="b">
        <f>IFERROR(__xludf.DUMMYFUNCTION("""COMPUTED_VALUE"""),FALSE)</f>
        <v>0</v>
      </c>
      <c r="AD17" s="45" t="b">
        <f>IFERROR(__xludf.DUMMYFUNCTION("""COMPUTED_VALUE"""),TRUE)</f>
        <v>1</v>
      </c>
      <c r="AE17" s="45" t="b">
        <f>IFERROR(__xludf.DUMMYFUNCTION("""COMPUTED_VALUE"""),TRUE)</f>
        <v>1</v>
      </c>
      <c r="AF17" s="45" t="b">
        <f>IFERROR(__xludf.DUMMYFUNCTION("""COMPUTED_VALUE"""),TRUE)</f>
        <v>1</v>
      </c>
    </row>
    <row r="18">
      <c r="A18" s="45" t="b">
        <v>0</v>
      </c>
      <c r="B18" s="45" t="str">
        <f>IFERROR(__xludf.DUMMYFUNCTION("""COMPUTED_VALUE"""),"Long locust")</f>
        <v>Long locust</v>
      </c>
      <c r="C18" s="45">
        <f>IFERROR(__xludf.DUMMYFUNCTION("""COMPUTED_VALUE"""),200.0)</f>
        <v>200</v>
      </c>
      <c r="D18" s="45" t="str">
        <f>IFERROR(__xludf.DUMMYFUNCTION("""COMPUTED_VALUE"""),"8 a.m. - 7 p.m.")</f>
        <v>8 a.m. - 7 p.m.</v>
      </c>
      <c r="E18" s="45" t="str">
        <f>IFERROR(__xludf.DUMMYFUNCTION("""COMPUTED_VALUE"""),"On ground")</f>
        <v>On ground</v>
      </c>
      <c r="F18" s="45"/>
      <c r="G18" s="45"/>
      <c r="H18" s="45" t="b">
        <f>IFERROR(__xludf.DUMMYFUNCTION("""COMPUTED_VALUE"""),FALSE)</f>
        <v>0</v>
      </c>
      <c r="I18" s="45" t="b">
        <f>IFERROR(__xludf.DUMMYFUNCTION("""COMPUTED_VALUE"""),FALSE)</f>
        <v>0</v>
      </c>
      <c r="J18" s="45" t="b">
        <f>IFERROR(__xludf.DUMMYFUNCTION("""COMPUTED_VALUE"""),FALSE)</f>
        <v>0</v>
      </c>
      <c r="K18" s="45" t="b">
        <f>IFERROR(__xludf.DUMMYFUNCTION("""COMPUTED_VALUE"""),TRUE)</f>
        <v>1</v>
      </c>
      <c r="L18" s="45" t="b">
        <f>IFERROR(__xludf.DUMMYFUNCTION("""COMPUTED_VALUE"""),TRUE)</f>
        <v>1</v>
      </c>
      <c r="M18" s="45" t="b">
        <f>IFERROR(__xludf.DUMMYFUNCTION("""COMPUTED_VALUE"""),TRUE)</f>
        <v>1</v>
      </c>
      <c r="N18" s="45" t="b">
        <f>IFERROR(__xludf.DUMMYFUNCTION("""COMPUTED_VALUE"""),TRUE)</f>
        <v>1</v>
      </c>
      <c r="O18" s="45" t="b">
        <f>IFERROR(__xludf.DUMMYFUNCTION("""COMPUTED_VALUE"""),TRUE)</f>
        <v>1</v>
      </c>
      <c r="P18" s="45" t="b">
        <f>IFERROR(__xludf.DUMMYFUNCTION("""COMPUTED_VALUE"""),TRUE)</f>
        <v>1</v>
      </c>
      <c r="Q18" s="45" t="b">
        <f>IFERROR(__xludf.DUMMYFUNCTION("""COMPUTED_VALUE"""),TRUE)</f>
        <v>1</v>
      </c>
      <c r="R18" s="45" t="b">
        <f>IFERROR(__xludf.DUMMYFUNCTION("""COMPUTED_VALUE"""),TRUE)</f>
        <v>1</v>
      </c>
      <c r="S18" s="45" t="b">
        <f>IFERROR(__xludf.DUMMYFUNCTION("""COMPUTED_VALUE"""),FALSE)</f>
        <v>0</v>
      </c>
      <c r="T18" s="45"/>
      <c r="U18" s="45" t="b">
        <f>IFERROR(__xludf.DUMMYFUNCTION("""COMPUTED_VALUE"""),TRUE)</f>
        <v>1</v>
      </c>
      <c r="V18" s="45" t="b">
        <f>IFERROR(__xludf.DUMMYFUNCTION("""COMPUTED_VALUE"""),TRUE)</f>
        <v>1</v>
      </c>
      <c r="W18" s="45" t="b">
        <f>IFERROR(__xludf.DUMMYFUNCTION("""COMPUTED_VALUE"""),TRUE)</f>
        <v>1</v>
      </c>
      <c r="X18" s="45" t="b">
        <f>IFERROR(__xludf.DUMMYFUNCTION("""COMPUTED_VALUE"""),TRUE)</f>
        <v>1</v>
      </c>
      <c r="Y18" s="45" t="b">
        <f>IFERROR(__xludf.DUMMYFUNCTION("""COMPUTED_VALUE"""),TRUE)</f>
        <v>1</v>
      </c>
      <c r="Z18" s="45" t="b">
        <f>IFERROR(__xludf.DUMMYFUNCTION("""COMPUTED_VALUE"""),FALSE)</f>
        <v>0</v>
      </c>
      <c r="AA18" s="45" t="b">
        <f>IFERROR(__xludf.DUMMYFUNCTION("""COMPUTED_VALUE"""),FALSE)</f>
        <v>0</v>
      </c>
      <c r="AB18" s="45" t="b">
        <f>IFERROR(__xludf.DUMMYFUNCTION("""COMPUTED_VALUE"""),FALSE)</f>
        <v>0</v>
      </c>
      <c r="AC18" s="45" t="b">
        <f>IFERROR(__xludf.DUMMYFUNCTION("""COMPUTED_VALUE"""),FALSE)</f>
        <v>0</v>
      </c>
      <c r="AD18" s="45" t="b">
        <f>IFERROR(__xludf.DUMMYFUNCTION("""COMPUTED_VALUE"""),TRUE)</f>
        <v>1</v>
      </c>
      <c r="AE18" s="45" t="b">
        <f>IFERROR(__xludf.DUMMYFUNCTION("""COMPUTED_VALUE"""),TRUE)</f>
        <v>1</v>
      </c>
      <c r="AF18" s="45" t="b">
        <f>IFERROR(__xludf.DUMMYFUNCTION("""COMPUTED_VALUE"""),TRUE)</f>
        <v>1</v>
      </c>
    </row>
    <row r="19">
      <c r="A19" s="45" t="b">
        <v>0</v>
      </c>
      <c r="B19" s="45" t="str">
        <f>IFERROR(__xludf.DUMMYFUNCTION("""COMPUTED_VALUE"""),"Migratory Locust")</f>
        <v>Migratory Locust</v>
      </c>
      <c r="C19" s="45">
        <f>IFERROR(__xludf.DUMMYFUNCTION("""COMPUTED_VALUE"""),600.0)</f>
        <v>600</v>
      </c>
      <c r="D19" s="45" t="str">
        <f>IFERROR(__xludf.DUMMYFUNCTION("""COMPUTED_VALUE"""),"8 a.m. - 7 p.m.")</f>
        <v>8 a.m. - 7 p.m.</v>
      </c>
      <c r="E19" s="45" t="str">
        <f>IFERROR(__xludf.DUMMYFUNCTION("""COMPUTED_VALUE"""),"On ground")</f>
        <v>On ground</v>
      </c>
      <c r="F19" s="45"/>
      <c r="G19" s="45"/>
      <c r="H19" s="45" t="b">
        <f>IFERROR(__xludf.DUMMYFUNCTION("""COMPUTED_VALUE"""),FALSE)</f>
        <v>0</v>
      </c>
      <c r="I19" s="45" t="b">
        <f>IFERROR(__xludf.DUMMYFUNCTION("""COMPUTED_VALUE"""),FALSE)</f>
        <v>0</v>
      </c>
      <c r="J19" s="45" t="b">
        <f>IFERROR(__xludf.DUMMYFUNCTION("""COMPUTED_VALUE"""),FALSE)</f>
        <v>0</v>
      </c>
      <c r="K19" s="45" t="b">
        <f>IFERROR(__xludf.DUMMYFUNCTION("""COMPUTED_VALUE"""),FALSE)</f>
        <v>0</v>
      </c>
      <c r="L19" s="45" t="b">
        <f>IFERROR(__xludf.DUMMYFUNCTION("""COMPUTED_VALUE"""),FALSE)</f>
        <v>0</v>
      </c>
      <c r="M19" s="45" t="b">
        <f>IFERROR(__xludf.DUMMYFUNCTION("""COMPUTED_VALUE"""),FALSE)</f>
        <v>0</v>
      </c>
      <c r="N19" s="45" t="b">
        <f>IFERROR(__xludf.DUMMYFUNCTION("""COMPUTED_VALUE"""),FALSE)</f>
        <v>0</v>
      </c>
      <c r="O19" s="45" t="b">
        <f>IFERROR(__xludf.DUMMYFUNCTION("""COMPUTED_VALUE"""),TRUE)</f>
        <v>1</v>
      </c>
      <c r="P19" s="45" t="b">
        <f>IFERROR(__xludf.DUMMYFUNCTION("""COMPUTED_VALUE"""),TRUE)</f>
        <v>1</v>
      </c>
      <c r="Q19" s="45" t="b">
        <f>IFERROR(__xludf.DUMMYFUNCTION("""COMPUTED_VALUE"""),TRUE)</f>
        <v>1</v>
      </c>
      <c r="R19" s="45" t="b">
        <f>IFERROR(__xludf.DUMMYFUNCTION("""COMPUTED_VALUE"""),TRUE)</f>
        <v>1</v>
      </c>
      <c r="S19" s="45" t="b">
        <f>IFERROR(__xludf.DUMMYFUNCTION("""COMPUTED_VALUE"""),FALSE)</f>
        <v>0</v>
      </c>
      <c r="T19" s="45"/>
      <c r="U19" s="45" t="b">
        <f>IFERROR(__xludf.DUMMYFUNCTION("""COMPUTED_VALUE"""),FALSE)</f>
        <v>0</v>
      </c>
      <c r="V19" s="45" t="b">
        <f>IFERROR(__xludf.DUMMYFUNCTION("""COMPUTED_VALUE"""),TRUE)</f>
        <v>1</v>
      </c>
      <c r="W19" s="45" t="b">
        <f>IFERROR(__xludf.DUMMYFUNCTION("""COMPUTED_VALUE"""),TRUE)</f>
        <v>1</v>
      </c>
      <c r="X19" s="45" t="b">
        <f>IFERROR(__xludf.DUMMYFUNCTION("""COMPUTED_VALUE"""),TRUE)</f>
        <v>1</v>
      </c>
      <c r="Y19" s="45" t="b">
        <f>IFERROR(__xludf.DUMMYFUNCTION("""COMPUTED_VALUE"""),TRUE)</f>
        <v>1</v>
      </c>
      <c r="Z19" s="45" t="b">
        <f>IFERROR(__xludf.DUMMYFUNCTION("""COMPUTED_VALUE"""),FALSE)</f>
        <v>0</v>
      </c>
      <c r="AA19" s="45" t="b">
        <f>IFERROR(__xludf.DUMMYFUNCTION("""COMPUTED_VALUE"""),FALSE)</f>
        <v>0</v>
      </c>
      <c r="AB19" s="45" t="b">
        <f>IFERROR(__xludf.DUMMYFUNCTION("""COMPUTED_VALUE"""),FALSE)</f>
        <v>0</v>
      </c>
      <c r="AC19" s="45" t="b">
        <f>IFERROR(__xludf.DUMMYFUNCTION("""COMPUTED_VALUE"""),FALSE)</f>
        <v>0</v>
      </c>
      <c r="AD19" s="45" t="b">
        <f>IFERROR(__xludf.DUMMYFUNCTION("""COMPUTED_VALUE"""),FALSE)</f>
        <v>0</v>
      </c>
      <c r="AE19" s="45" t="b">
        <f>IFERROR(__xludf.DUMMYFUNCTION("""COMPUTED_VALUE"""),FALSE)</f>
        <v>0</v>
      </c>
      <c r="AF19" s="45" t="b">
        <f>IFERROR(__xludf.DUMMYFUNCTION("""COMPUTED_VALUE"""),FALSE)</f>
        <v>0</v>
      </c>
    </row>
    <row r="20">
      <c r="A20" s="45" t="b">
        <v>0</v>
      </c>
      <c r="B20" s="45" t="str">
        <f>IFERROR(__xludf.DUMMYFUNCTION("""COMPUTED_VALUE"""),"Rice grasshopper")</f>
        <v>Rice grasshopper</v>
      </c>
      <c r="C20" s="45">
        <f>IFERROR(__xludf.DUMMYFUNCTION("""COMPUTED_VALUE"""),160.0)</f>
        <v>160</v>
      </c>
      <c r="D20" s="45" t="str">
        <f>IFERROR(__xludf.DUMMYFUNCTION("""COMPUTED_VALUE"""),"8 a.m. - 7 p.m.")</f>
        <v>8 a.m. - 7 p.m.</v>
      </c>
      <c r="E20" s="45" t="str">
        <f>IFERROR(__xludf.DUMMYFUNCTION("""COMPUTED_VALUE"""),"On ground")</f>
        <v>On ground</v>
      </c>
      <c r="F20" s="45"/>
      <c r="G20" s="45"/>
      <c r="H20" s="45" t="b">
        <f>IFERROR(__xludf.DUMMYFUNCTION("""COMPUTED_VALUE"""),FALSE)</f>
        <v>0</v>
      </c>
      <c r="I20" s="45" t="b">
        <f>IFERROR(__xludf.DUMMYFUNCTION("""COMPUTED_VALUE"""),FALSE)</f>
        <v>0</v>
      </c>
      <c r="J20" s="45" t="b">
        <f>IFERROR(__xludf.DUMMYFUNCTION("""COMPUTED_VALUE"""),FALSE)</f>
        <v>0</v>
      </c>
      <c r="K20" s="45" t="b">
        <f>IFERROR(__xludf.DUMMYFUNCTION("""COMPUTED_VALUE"""),FALSE)</f>
        <v>0</v>
      </c>
      <c r="L20" s="45" t="b">
        <f>IFERROR(__xludf.DUMMYFUNCTION("""COMPUTED_VALUE"""),FALSE)</f>
        <v>0</v>
      </c>
      <c r="M20" s="45" t="b">
        <f>IFERROR(__xludf.DUMMYFUNCTION("""COMPUTED_VALUE"""),FALSE)</f>
        <v>0</v>
      </c>
      <c r="N20" s="45" t="b">
        <f>IFERROR(__xludf.DUMMYFUNCTION("""COMPUTED_VALUE"""),FALSE)</f>
        <v>0</v>
      </c>
      <c r="O20" s="45" t="b">
        <f>IFERROR(__xludf.DUMMYFUNCTION("""COMPUTED_VALUE"""),TRUE)</f>
        <v>1</v>
      </c>
      <c r="P20" s="45" t="b">
        <f>IFERROR(__xludf.DUMMYFUNCTION("""COMPUTED_VALUE"""),TRUE)</f>
        <v>1</v>
      </c>
      <c r="Q20" s="45" t="b">
        <f>IFERROR(__xludf.DUMMYFUNCTION("""COMPUTED_VALUE"""),TRUE)</f>
        <v>1</v>
      </c>
      <c r="R20" s="45" t="b">
        <f>IFERROR(__xludf.DUMMYFUNCTION("""COMPUTED_VALUE"""),TRUE)</f>
        <v>1</v>
      </c>
      <c r="S20" s="45" t="b">
        <f>IFERROR(__xludf.DUMMYFUNCTION("""COMPUTED_VALUE"""),FALSE)</f>
        <v>0</v>
      </c>
      <c r="T20" s="45"/>
      <c r="U20" s="45" t="b">
        <f>IFERROR(__xludf.DUMMYFUNCTION("""COMPUTED_VALUE"""),FALSE)</f>
        <v>0</v>
      </c>
      <c r="V20" s="45" t="b">
        <f>IFERROR(__xludf.DUMMYFUNCTION("""COMPUTED_VALUE"""),TRUE)</f>
        <v>1</v>
      </c>
      <c r="W20" s="45" t="b">
        <f>IFERROR(__xludf.DUMMYFUNCTION("""COMPUTED_VALUE"""),TRUE)</f>
        <v>1</v>
      </c>
      <c r="X20" s="45" t="b">
        <f>IFERROR(__xludf.DUMMYFUNCTION("""COMPUTED_VALUE"""),TRUE)</f>
        <v>1</v>
      </c>
      <c r="Y20" s="45" t="b">
        <f>IFERROR(__xludf.DUMMYFUNCTION("""COMPUTED_VALUE"""),TRUE)</f>
        <v>1</v>
      </c>
      <c r="Z20" s="45" t="b">
        <f>IFERROR(__xludf.DUMMYFUNCTION("""COMPUTED_VALUE"""),FALSE)</f>
        <v>0</v>
      </c>
      <c r="AA20" s="45" t="b">
        <f>IFERROR(__xludf.DUMMYFUNCTION("""COMPUTED_VALUE"""),FALSE)</f>
        <v>0</v>
      </c>
      <c r="AB20" s="45" t="b">
        <f>IFERROR(__xludf.DUMMYFUNCTION("""COMPUTED_VALUE"""),FALSE)</f>
        <v>0</v>
      </c>
      <c r="AC20" s="45" t="b">
        <f>IFERROR(__xludf.DUMMYFUNCTION("""COMPUTED_VALUE"""),FALSE)</f>
        <v>0</v>
      </c>
      <c r="AD20" s="45" t="b">
        <f>IFERROR(__xludf.DUMMYFUNCTION("""COMPUTED_VALUE"""),FALSE)</f>
        <v>0</v>
      </c>
      <c r="AE20" s="45" t="b">
        <f>IFERROR(__xludf.DUMMYFUNCTION("""COMPUTED_VALUE"""),FALSE)</f>
        <v>0</v>
      </c>
      <c r="AF20" s="45" t="b">
        <f>IFERROR(__xludf.DUMMYFUNCTION("""COMPUTED_VALUE"""),FALSE)</f>
        <v>0</v>
      </c>
    </row>
    <row r="21">
      <c r="A21" s="45" t="b">
        <v>0</v>
      </c>
      <c r="B21" s="45" t="str">
        <f>IFERROR(__xludf.DUMMYFUNCTION("""COMPUTED_VALUE"""),"Grasshopper")</f>
        <v>Grasshopper</v>
      </c>
      <c r="C21" s="45">
        <f>IFERROR(__xludf.DUMMYFUNCTION("""COMPUTED_VALUE"""),160.0)</f>
        <v>160</v>
      </c>
      <c r="D21" s="45" t="str">
        <f>IFERROR(__xludf.DUMMYFUNCTION("""COMPUTED_VALUE"""),"8 a.m. - 5 p.m.")</f>
        <v>8 a.m. - 5 p.m.</v>
      </c>
      <c r="E21" s="45" t="str">
        <f>IFERROR(__xludf.DUMMYFUNCTION("""COMPUTED_VALUE"""),"On ground")</f>
        <v>On ground</v>
      </c>
      <c r="F21" s="45"/>
      <c r="G21" s="45"/>
      <c r="H21" s="45" t="b">
        <f>IFERROR(__xludf.DUMMYFUNCTION("""COMPUTED_VALUE"""),FALSE)</f>
        <v>0</v>
      </c>
      <c r="I21" s="45" t="b">
        <f>IFERROR(__xludf.DUMMYFUNCTION("""COMPUTED_VALUE"""),FALSE)</f>
        <v>0</v>
      </c>
      <c r="J21" s="45" t="b">
        <f>IFERROR(__xludf.DUMMYFUNCTION("""COMPUTED_VALUE"""),FALSE)</f>
        <v>0</v>
      </c>
      <c r="K21" s="45" t="b">
        <f>IFERROR(__xludf.DUMMYFUNCTION("""COMPUTED_VALUE"""),FALSE)</f>
        <v>0</v>
      </c>
      <c r="L21" s="45" t="b">
        <f>IFERROR(__xludf.DUMMYFUNCTION("""COMPUTED_VALUE"""),FALSE)</f>
        <v>0</v>
      </c>
      <c r="M21" s="45" t="b">
        <f>IFERROR(__xludf.DUMMYFUNCTION("""COMPUTED_VALUE"""),FALSE)</f>
        <v>0</v>
      </c>
      <c r="N21" s="45" t="b">
        <f>IFERROR(__xludf.DUMMYFUNCTION("""COMPUTED_VALUE"""),TRUE)</f>
        <v>1</v>
      </c>
      <c r="O21" s="45" t="b">
        <f>IFERROR(__xludf.DUMMYFUNCTION("""COMPUTED_VALUE"""),TRUE)</f>
        <v>1</v>
      </c>
      <c r="P21" s="45" t="b">
        <f>IFERROR(__xludf.DUMMYFUNCTION("""COMPUTED_VALUE"""),TRUE)</f>
        <v>1</v>
      </c>
      <c r="Q21" s="45" t="b">
        <f>IFERROR(__xludf.DUMMYFUNCTION("""COMPUTED_VALUE"""),FALSE)</f>
        <v>0</v>
      </c>
      <c r="R21" s="45" t="b">
        <f>IFERROR(__xludf.DUMMYFUNCTION("""COMPUTED_VALUE"""),FALSE)</f>
        <v>0</v>
      </c>
      <c r="S21" s="45" t="b">
        <f>IFERROR(__xludf.DUMMYFUNCTION("""COMPUTED_VALUE"""),FALSE)</f>
        <v>0</v>
      </c>
      <c r="T21" s="45"/>
      <c r="U21" s="45" t="b">
        <f>IFERROR(__xludf.DUMMYFUNCTION("""COMPUTED_VALUE"""),TRUE)</f>
        <v>1</v>
      </c>
      <c r="V21" s="45" t="b">
        <f>IFERROR(__xludf.DUMMYFUNCTION("""COMPUTED_VALUE"""),TRUE)</f>
        <v>1</v>
      </c>
      <c r="W21" s="45" t="b">
        <f>IFERROR(__xludf.DUMMYFUNCTION("""COMPUTED_VALUE"""),TRUE)</f>
        <v>1</v>
      </c>
      <c r="X21" s="45" t="b">
        <f>IFERROR(__xludf.DUMMYFUNCTION("""COMPUTED_VALUE"""),FALSE)</f>
        <v>0</v>
      </c>
      <c r="Y21" s="45" t="b">
        <f>IFERROR(__xludf.DUMMYFUNCTION("""COMPUTED_VALUE"""),FALSE)</f>
        <v>0</v>
      </c>
      <c r="Z21" s="45" t="b">
        <f>IFERROR(__xludf.DUMMYFUNCTION("""COMPUTED_VALUE"""),FALSE)</f>
        <v>0</v>
      </c>
      <c r="AA21" s="45" t="b">
        <f>IFERROR(__xludf.DUMMYFUNCTION("""COMPUTED_VALUE"""),FALSE)</f>
        <v>0</v>
      </c>
      <c r="AB21" s="45" t="b">
        <f>IFERROR(__xludf.DUMMYFUNCTION("""COMPUTED_VALUE"""),FALSE)</f>
        <v>0</v>
      </c>
      <c r="AC21" s="45" t="b">
        <f>IFERROR(__xludf.DUMMYFUNCTION("""COMPUTED_VALUE"""),FALSE)</f>
        <v>0</v>
      </c>
      <c r="AD21" s="45" t="b">
        <f>IFERROR(__xludf.DUMMYFUNCTION("""COMPUTED_VALUE"""),FALSE)</f>
        <v>0</v>
      </c>
      <c r="AE21" s="45" t="b">
        <f>IFERROR(__xludf.DUMMYFUNCTION("""COMPUTED_VALUE"""),FALSE)</f>
        <v>0</v>
      </c>
      <c r="AF21" s="45" t="b">
        <f>IFERROR(__xludf.DUMMYFUNCTION("""COMPUTED_VALUE"""),FALSE)</f>
        <v>0</v>
      </c>
    </row>
    <row r="22">
      <c r="A22" s="45" t="b">
        <v>0</v>
      </c>
      <c r="B22" s="45" t="str">
        <f>IFERROR(__xludf.DUMMYFUNCTION("""COMPUTED_VALUE"""),"Cricket")</f>
        <v>Cricket</v>
      </c>
      <c r="C22" s="45">
        <f>IFERROR(__xludf.DUMMYFUNCTION("""COMPUTED_VALUE"""),130.0)</f>
        <v>130</v>
      </c>
      <c r="D22" s="45" t="str">
        <f>IFERROR(__xludf.DUMMYFUNCTION("""COMPUTED_VALUE"""),"5 p.m. - 8 a.m.")</f>
        <v>5 p.m. - 8 a.m.</v>
      </c>
      <c r="E22" s="45" t="str">
        <f>IFERROR(__xludf.DUMMYFUNCTION("""COMPUTED_VALUE"""),"On ground")</f>
        <v>On ground</v>
      </c>
      <c r="F22" s="45"/>
      <c r="G22" s="45"/>
      <c r="H22" s="45" t="b">
        <f>IFERROR(__xludf.DUMMYFUNCTION("""COMPUTED_VALUE"""),FALSE)</f>
        <v>0</v>
      </c>
      <c r="I22" s="45" t="b">
        <f>IFERROR(__xludf.DUMMYFUNCTION("""COMPUTED_VALUE"""),FALSE)</f>
        <v>0</v>
      </c>
      <c r="J22" s="45" t="b">
        <f>IFERROR(__xludf.DUMMYFUNCTION("""COMPUTED_VALUE"""),FALSE)</f>
        <v>0</v>
      </c>
      <c r="K22" s="45" t="b">
        <f>IFERROR(__xludf.DUMMYFUNCTION("""COMPUTED_VALUE"""),FALSE)</f>
        <v>0</v>
      </c>
      <c r="L22" s="45" t="b">
        <f>IFERROR(__xludf.DUMMYFUNCTION("""COMPUTED_VALUE"""),FALSE)</f>
        <v>0</v>
      </c>
      <c r="M22" s="45" t="b">
        <f>IFERROR(__xludf.DUMMYFUNCTION("""COMPUTED_VALUE"""),FALSE)</f>
        <v>0</v>
      </c>
      <c r="N22" s="45" t="b">
        <f>IFERROR(__xludf.DUMMYFUNCTION("""COMPUTED_VALUE"""),FALSE)</f>
        <v>0</v>
      </c>
      <c r="O22" s="45" t="b">
        <f>IFERROR(__xludf.DUMMYFUNCTION("""COMPUTED_VALUE"""),FALSE)</f>
        <v>0</v>
      </c>
      <c r="P22" s="45" t="b">
        <f>IFERROR(__xludf.DUMMYFUNCTION("""COMPUTED_VALUE"""),TRUE)</f>
        <v>1</v>
      </c>
      <c r="Q22" s="45" t="b">
        <f>IFERROR(__xludf.DUMMYFUNCTION("""COMPUTED_VALUE"""),TRUE)</f>
        <v>1</v>
      </c>
      <c r="R22" s="45" t="b">
        <f>IFERROR(__xludf.DUMMYFUNCTION("""COMPUTED_VALUE"""),TRUE)</f>
        <v>1</v>
      </c>
      <c r="S22" s="45" t="b">
        <f>IFERROR(__xludf.DUMMYFUNCTION("""COMPUTED_VALUE"""),FALSE)</f>
        <v>0</v>
      </c>
      <c r="T22" s="45"/>
      <c r="U22" s="45" t="b">
        <f>IFERROR(__xludf.DUMMYFUNCTION("""COMPUTED_VALUE"""),FALSE)</f>
        <v>0</v>
      </c>
      <c r="V22" s="45" t="b">
        <f>IFERROR(__xludf.DUMMYFUNCTION("""COMPUTED_VALUE"""),FALSE)</f>
        <v>0</v>
      </c>
      <c r="W22" s="45" t="b">
        <f>IFERROR(__xludf.DUMMYFUNCTION("""COMPUTED_VALUE"""),TRUE)</f>
        <v>1</v>
      </c>
      <c r="X22" s="45" t="b">
        <f>IFERROR(__xludf.DUMMYFUNCTION("""COMPUTED_VALUE"""),TRUE)</f>
        <v>1</v>
      </c>
      <c r="Y22" s="45" t="b">
        <f>IFERROR(__xludf.DUMMYFUNCTION("""COMPUTED_VALUE"""),TRUE)</f>
        <v>1</v>
      </c>
      <c r="Z22" s="45" t="b">
        <f>IFERROR(__xludf.DUMMYFUNCTION("""COMPUTED_VALUE"""),FALSE)</f>
        <v>0</v>
      </c>
      <c r="AA22" s="45" t="b">
        <f>IFERROR(__xludf.DUMMYFUNCTION("""COMPUTED_VALUE"""),FALSE)</f>
        <v>0</v>
      </c>
      <c r="AB22" s="45" t="b">
        <f>IFERROR(__xludf.DUMMYFUNCTION("""COMPUTED_VALUE"""),FALSE)</f>
        <v>0</v>
      </c>
      <c r="AC22" s="45" t="b">
        <f>IFERROR(__xludf.DUMMYFUNCTION("""COMPUTED_VALUE"""),FALSE)</f>
        <v>0</v>
      </c>
      <c r="AD22" s="45" t="b">
        <f>IFERROR(__xludf.DUMMYFUNCTION("""COMPUTED_VALUE"""),FALSE)</f>
        <v>0</v>
      </c>
      <c r="AE22" s="45" t="b">
        <f>IFERROR(__xludf.DUMMYFUNCTION("""COMPUTED_VALUE"""),FALSE)</f>
        <v>0</v>
      </c>
      <c r="AF22" s="45" t="b">
        <f>IFERROR(__xludf.DUMMYFUNCTION("""COMPUTED_VALUE"""),FALSE)</f>
        <v>0</v>
      </c>
    </row>
    <row r="23">
      <c r="A23" s="45" t="b">
        <v>0</v>
      </c>
      <c r="B23" s="45" t="str">
        <f>IFERROR(__xludf.DUMMYFUNCTION("""COMPUTED_VALUE"""),"Bell cricket")</f>
        <v>Bell cricket</v>
      </c>
      <c r="C23" s="45">
        <f>IFERROR(__xludf.DUMMYFUNCTION("""COMPUTED_VALUE"""),430.0)</f>
        <v>430</v>
      </c>
      <c r="D23" s="45" t="str">
        <f>IFERROR(__xludf.DUMMYFUNCTION("""COMPUTED_VALUE"""),"5 p.m. - 8 a.m.")</f>
        <v>5 p.m. - 8 a.m.</v>
      </c>
      <c r="E23" s="45" t="str">
        <f>IFERROR(__xludf.DUMMYFUNCTION("""COMPUTED_VALUE"""),"On ground")</f>
        <v>On ground</v>
      </c>
      <c r="F23" s="45"/>
      <c r="G23" s="45"/>
      <c r="H23" s="45" t="b">
        <f>IFERROR(__xludf.DUMMYFUNCTION("""COMPUTED_VALUE"""),FALSE)</f>
        <v>0</v>
      </c>
      <c r="I23" s="45" t="b">
        <f>IFERROR(__xludf.DUMMYFUNCTION("""COMPUTED_VALUE"""),FALSE)</f>
        <v>0</v>
      </c>
      <c r="J23" s="45" t="b">
        <f>IFERROR(__xludf.DUMMYFUNCTION("""COMPUTED_VALUE"""),FALSE)</f>
        <v>0</v>
      </c>
      <c r="K23" s="45" t="b">
        <f>IFERROR(__xludf.DUMMYFUNCTION("""COMPUTED_VALUE"""),FALSE)</f>
        <v>0</v>
      </c>
      <c r="L23" s="45" t="b">
        <f>IFERROR(__xludf.DUMMYFUNCTION("""COMPUTED_VALUE"""),FALSE)</f>
        <v>0</v>
      </c>
      <c r="M23" s="45" t="b">
        <f>IFERROR(__xludf.DUMMYFUNCTION("""COMPUTED_VALUE"""),FALSE)</f>
        <v>0</v>
      </c>
      <c r="N23" s="45" t="b">
        <f>IFERROR(__xludf.DUMMYFUNCTION("""COMPUTED_VALUE"""),FALSE)</f>
        <v>0</v>
      </c>
      <c r="O23" s="45" t="b">
        <f>IFERROR(__xludf.DUMMYFUNCTION("""COMPUTED_VALUE"""),FALSE)</f>
        <v>0</v>
      </c>
      <c r="P23" s="45" t="b">
        <f>IFERROR(__xludf.DUMMYFUNCTION("""COMPUTED_VALUE"""),TRUE)</f>
        <v>1</v>
      </c>
      <c r="Q23" s="45" t="b">
        <f>IFERROR(__xludf.DUMMYFUNCTION("""COMPUTED_VALUE"""),TRUE)</f>
        <v>1</v>
      </c>
      <c r="R23" s="45" t="b">
        <f>IFERROR(__xludf.DUMMYFUNCTION("""COMPUTED_VALUE"""),FALSE)</f>
        <v>0</v>
      </c>
      <c r="S23" s="45" t="b">
        <f>IFERROR(__xludf.DUMMYFUNCTION("""COMPUTED_VALUE"""),FALSE)</f>
        <v>0</v>
      </c>
      <c r="T23" s="45"/>
      <c r="U23" s="45" t="b">
        <f>IFERROR(__xludf.DUMMYFUNCTION("""COMPUTED_VALUE"""),FALSE)</f>
        <v>0</v>
      </c>
      <c r="V23" s="45" t="b">
        <f>IFERROR(__xludf.DUMMYFUNCTION("""COMPUTED_VALUE"""),FALSE)</f>
        <v>0</v>
      </c>
      <c r="W23" s="45" t="b">
        <f>IFERROR(__xludf.DUMMYFUNCTION("""COMPUTED_VALUE"""),TRUE)</f>
        <v>1</v>
      </c>
      <c r="X23" s="45" t="b">
        <f>IFERROR(__xludf.DUMMYFUNCTION("""COMPUTED_VALUE"""),TRUE)</f>
        <v>1</v>
      </c>
      <c r="Y23" s="45" t="b">
        <f>IFERROR(__xludf.DUMMYFUNCTION("""COMPUTED_VALUE"""),FALSE)</f>
        <v>0</v>
      </c>
      <c r="Z23" s="45" t="b">
        <f>IFERROR(__xludf.DUMMYFUNCTION("""COMPUTED_VALUE"""),FALSE)</f>
        <v>0</v>
      </c>
      <c r="AA23" s="45" t="b">
        <f>IFERROR(__xludf.DUMMYFUNCTION("""COMPUTED_VALUE"""),FALSE)</f>
        <v>0</v>
      </c>
      <c r="AB23" s="45" t="b">
        <f>IFERROR(__xludf.DUMMYFUNCTION("""COMPUTED_VALUE"""),FALSE)</f>
        <v>0</v>
      </c>
      <c r="AC23" s="45" t="b">
        <f>IFERROR(__xludf.DUMMYFUNCTION("""COMPUTED_VALUE"""),FALSE)</f>
        <v>0</v>
      </c>
      <c r="AD23" s="45" t="b">
        <f>IFERROR(__xludf.DUMMYFUNCTION("""COMPUTED_VALUE"""),FALSE)</f>
        <v>0</v>
      </c>
      <c r="AE23" s="45" t="b">
        <f>IFERROR(__xludf.DUMMYFUNCTION("""COMPUTED_VALUE"""),FALSE)</f>
        <v>0</v>
      </c>
      <c r="AF23" s="45" t="b">
        <f>IFERROR(__xludf.DUMMYFUNCTION("""COMPUTED_VALUE"""),FALSE)</f>
        <v>0</v>
      </c>
    </row>
    <row r="24">
      <c r="A24" s="45" t="b">
        <v>0</v>
      </c>
      <c r="B24" s="45" t="str">
        <f>IFERROR(__xludf.DUMMYFUNCTION("""COMPUTED_VALUE"""),"Mantis")</f>
        <v>Mantis</v>
      </c>
      <c r="C24" s="45">
        <f>IFERROR(__xludf.DUMMYFUNCTION("""COMPUTED_VALUE"""),430.0)</f>
        <v>430</v>
      </c>
      <c r="D24" s="45" t="str">
        <f>IFERROR(__xludf.DUMMYFUNCTION("""COMPUTED_VALUE"""),"8 a.m. - 5 p.m.")</f>
        <v>8 a.m. - 5 p.m.</v>
      </c>
      <c r="E24" s="45" t="str">
        <f>IFERROR(__xludf.DUMMYFUNCTION("""COMPUTED_VALUE"""),"On flowers")</f>
        <v>On flowers</v>
      </c>
      <c r="F24" s="45"/>
      <c r="G24" s="45"/>
      <c r="H24" s="45" t="b">
        <f>IFERROR(__xludf.DUMMYFUNCTION("""COMPUTED_VALUE"""),FALSE)</f>
        <v>0</v>
      </c>
      <c r="I24" s="45" t="b">
        <f>IFERROR(__xludf.DUMMYFUNCTION("""COMPUTED_VALUE"""),FALSE)</f>
        <v>0</v>
      </c>
      <c r="J24" s="45" t="b">
        <f>IFERROR(__xludf.DUMMYFUNCTION("""COMPUTED_VALUE"""),TRUE)</f>
        <v>1</v>
      </c>
      <c r="K24" s="45" t="b">
        <f>IFERROR(__xludf.DUMMYFUNCTION("""COMPUTED_VALUE"""),TRUE)</f>
        <v>1</v>
      </c>
      <c r="L24" s="45" t="b">
        <f>IFERROR(__xludf.DUMMYFUNCTION("""COMPUTED_VALUE"""),TRUE)</f>
        <v>1</v>
      </c>
      <c r="M24" s="45" t="b">
        <f>IFERROR(__xludf.DUMMYFUNCTION("""COMPUTED_VALUE"""),TRUE)</f>
        <v>1</v>
      </c>
      <c r="N24" s="45" t="b">
        <f>IFERROR(__xludf.DUMMYFUNCTION("""COMPUTED_VALUE"""),TRUE)</f>
        <v>1</v>
      </c>
      <c r="O24" s="45" t="b">
        <f>IFERROR(__xludf.DUMMYFUNCTION("""COMPUTED_VALUE"""),TRUE)</f>
        <v>1</v>
      </c>
      <c r="P24" s="45" t="b">
        <f>IFERROR(__xludf.DUMMYFUNCTION("""COMPUTED_VALUE"""),TRUE)</f>
        <v>1</v>
      </c>
      <c r="Q24" s="45" t="b">
        <f>IFERROR(__xludf.DUMMYFUNCTION("""COMPUTED_VALUE"""),TRUE)</f>
        <v>1</v>
      </c>
      <c r="R24" s="45" t="b">
        <f>IFERROR(__xludf.DUMMYFUNCTION("""COMPUTED_VALUE"""),TRUE)</f>
        <v>1</v>
      </c>
      <c r="S24" s="45" t="b">
        <f>IFERROR(__xludf.DUMMYFUNCTION("""COMPUTED_VALUE"""),FALSE)</f>
        <v>0</v>
      </c>
      <c r="T24" s="45"/>
      <c r="U24" s="45" t="b">
        <f>IFERROR(__xludf.DUMMYFUNCTION("""COMPUTED_VALUE"""),TRUE)</f>
        <v>1</v>
      </c>
      <c r="V24" s="45" t="b">
        <f>IFERROR(__xludf.DUMMYFUNCTION("""COMPUTED_VALUE"""),TRUE)</f>
        <v>1</v>
      </c>
      <c r="W24" s="45" t="b">
        <f>IFERROR(__xludf.DUMMYFUNCTION("""COMPUTED_VALUE"""),TRUE)</f>
        <v>1</v>
      </c>
      <c r="X24" s="45" t="b">
        <f>IFERROR(__xludf.DUMMYFUNCTION("""COMPUTED_VALUE"""),TRUE)</f>
        <v>1</v>
      </c>
      <c r="Y24" s="45" t="b">
        <f>IFERROR(__xludf.DUMMYFUNCTION("""COMPUTED_VALUE"""),TRUE)</f>
        <v>1</v>
      </c>
      <c r="Z24" s="45" t="b">
        <f>IFERROR(__xludf.DUMMYFUNCTION("""COMPUTED_VALUE"""),FALSE)</f>
        <v>0</v>
      </c>
      <c r="AA24" s="45" t="b">
        <f>IFERROR(__xludf.DUMMYFUNCTION("""COMPUTED_VALUE"""),FALSE)</f>
        <v>0</v>
      </c>
      <c r="AB24" s="45" t="b">
        <f>IFERROR(__xludf.DUMMYFUNCTION("""COMPUTED_VALUE"""),FALSE)</f>
        <v>0</v>
      </c>
      <c r="AC24" s="45" t="b">
        <f>IFERROR(__xludf.DUMMYFUNCTION("""COMPUTED_VALUE"""),TRUE)</f>
        <v>1</v>
      </c>
      <c r="AD24" s="45" t="b">
        <f>IFERROR(__xludf.DUMMYFUNCTION("""COMPUTED_VALUE"""),TRUE)</f>
        <v>1</v>
      </c>
      <c r="AE24" s="45" t="b">
        <f>IFERROR(__xludf.DUMMYFUNCTION("""COMPUTED_VALUE"""),TRUE)</f>
        <v>1</v>
      </c>
      <c r="AF24" s="45" t="b">
        <f>IFERROR(__xludf.DUMMYFUNCTION("""COMPUTED_VALUE"""),TRUE)</f>
        <v>1</v>
      </c>
    </row>
    <row r="25">
      <c r="A25" s="45" t="b">
        <v>0</v>
      </c>
      <c r="B25" s="45" t="str">
        <f>IFERROR(__xludf.DUMMYFUNCTION("""COMPUTED_VALUE"""),"Orchid mantis")</f>
        <v>Orchid mantis</v>
      </c>
      <c r="C25" s="45">
        <f>IFERROR(__xludf.DUMMYFUNCTION("""COMPUTED_VALUE"""),2400.0)</f>
        <v>2400</v>
      </c>
      <c r="D25" s="45" t="str">
        <f>IFERROR(__xludf.DUMMYFUNCTION("""COMPUTED_VALUE"""),"8 a.m. - 5 p.m.")</f>
        <v>8 a.m. - 5 p.m.</v>
      </c>
      <c r="E25" s="45" t="str">
        <f>IFERROR(__xludf.DUMMYFUNCTION("""COMPUTED_VALUE"""),"On white flowers")</f>
        <v>On white flowers</v>
      </c>
      <c r="F25" s="45"/>
      <c r="G25" s="45"/>
      <c r="H25" s="45" t="b">
        <f>IFERROR(__xludf.DUMMYFUNCTION("""COMPUTED_VALUE"""),FALSE)</f>
        <v>0</v>
      </c>
      <c r="I25" s="45" t="b">
        <f>IFERROR(__xludf.DUMMYFUNCTION("""COMPUTED_VALUE"""),FALSE)</f>
        <v>0</v>
      </c>
      <c r="J25" s="45" t="b">
        <f>IFERROR(__xludf.DUMMYFUNCTION("""COMPUTED_VALUE"""),TRUE)</f>
        <v>1</v>
      </c>
      <c r="K25" s="45" t="b">
        <f>IFERROR(__xludf.DUMMYFUNCTION("""COMPUTED_VALUE"""),TRUE)</f>
        <v>1</v>
      </c>
      <c r="L25" s="45" t="b">
        <f>IFERROR(__xludf.DUMMYFUNCTION("""COMPUTED_VALUE"""),TRUE)</f>
        <v>1</v>
      </c>
      <c r="M25" s="45" t="b">
        <f>IFERROR(__xludf.DUMMYFUNCTION("""COMPUTED_VALUE"""),TRUE)</f>
        <v>1</v>
      </c>
      <c r="N25" s="45" t="b">
        <f>IFERROR(__xludf.DUMMYFUNCTION("""COMPUTED_VALUE"""),TRUE)</f>
        <v>1</v>
      </c>
      <c r="O25" s="45" t="b">
        <f>IFERROR(__xludf.DUMMYFUNCTION("""COMPUTED_VALUE"""),TRUE)</f>
        <v>1</v>
      </c>
      <c r="P25" s="45" t="b">
        <f>IFERROR(__xludf.DUMMYFUNCTION("""COMPUTED_VALUE"""),TRUE)</f>
        <v>1</v>
      </c>
      <c r="Q25" s="45" t="b">
        <f>IFERROR(__xludf.DUMMYFUNCTION("""COMPUTED_VALUE"""),TRUE)</f>
        <v>1</v>
      </c>
      <c r="R25" s="45" t="b">
        <f>IFERROR(__xludf.DUMMYFUNCTION("""COMPUTED_VALUE"""),TRUE)</f>
        <v>1</v>
      </c>
      <c r="S25" s="45" t="b">
        <f>IFERROR(__xludf.DUMMYFUNCTION("""COMPUTED_VALUE"""),FALSE)</f>
        <v>0</v>
      </c>
      <c r="T25" s="45"/>
      <c r="U25" s="45" t="b">
        <f>IFERROR(__xludf.DUMMYFUNCTION("""COMPUTED_VALUE"""),TRUE)</f>
        <v>1</v>
      </c>
      <c r="V25" s="45" t="b">
        <f>IFERROR(__xludf.DUMMYFUNCTION("""COMPUTED_VALUE"""),TRUE)</f>
        <v>1</v>
      </c>
      <c r="W25" s="45" t="b">
        <f>IFERROR(__xludf.DUMMYFUNCTION("""COMPUTED_VALUE"""),TRUE)</f>
        <v>1</v>
      </c>
      <c r="X25" s="45" t="b">
        <f>IFERROR(__xludf.DUMMYFUNCTION("""COMPUTED_VALUE"""),TRUE)</f>
        <v>1</v>
      </c>
      <c r="Y25" s="45" t="b">
        <f>IFERROR(__xludf.DUMMYFUNCTION("""COMPUTED_VALUE"""),TRUE)</f>
        <v>1</v>
      </c>
      <c r="Z25" s="45" t="b">
        <f>IFERROR(__xludf.DUMMYFUNCTION("""COMPUTED_VALUE"""),FALSE)</f>
        <v>0</v>
      </c>
      <c r="AA25" s="45" t="b">
        <f>IFERROR(__xludf.DUMMYFUNCTION("""COMPUTED_VALUE"""),FALSE)</f>
        <v>0</v>
      </c>
      <c r="AB25" s="45" t="b">
        <f>IFERROR(__xludf.DUMMYFUNCTION("""COMPUTED_VALUE"""),FALSE)</f>
        <v>0</v>
      </c>
      <c r="AC25" s="45" t="b">
        <f>IFERROR(__xludf.DUMMYFUNCTION("""COMPUTED_VALUE"""),TRUE)</f>
        <v>1</v>
      </c>
      <c r="AD25" s="45" t="b">
        <f>IFERROR(__xludf.DUMMYFUNCTION("""COMPUTED_VALUE"""),TRUE)</f>
        <v>1</v>
      </c>
      <c r="AE25" s="45" t="b">
        <f>IFERROR(__xludf.DUMMYFUNCTION("""COMPUTED_VALUE"""),TRUE)</f>
        <v>1</v>
      </c>
      <c r="AF25" s="45" t="b">
        <f>IFERROR(__xludf.DUMMYFUNCTION("""COMPUTED_VALUE"""),TRUE)</f>
        <v>1</v>
      </c>
    </row>
    <row r="26">
      <c r="A26" s="45" t="b">
        <v>0</v>
      </c>
      <c r="B26" s="45" t="str">
        <f>IFERROR(__xludf.DUMMYFUNCTION("""COMPUTED_VALUE"""),"Honeybee")</f>
        <v>Honeybee</v>
      </c>
      <c r="C26" s="45">
        <f>IFERROR(__xludf.DUMMYFUNCTION("""COMPUTED_VALUE"""),200.0)</f>
        <v>200</v>
      </c>
      <c r="D26" s="45" t="str">
        <f>IFERROR(__xludf.DUMMYFUNCTION("""COMPUTED_VALUE"""),"8 a.m. - 5 p.m.")</f>
        <v>8 a.m. - 5 p.m.</v>
      </c>
      <c r="E26" s="45" t="str">
        <f>IFERROR(__xludf.DUMMYFUNCTION("""COMPUTED_VALUE"""),"Flying near flowers")</f>
        <v>Flying near flowers</v>
      </c>
      <c r="F26" s="45"/>
      <c r="G26" s="45"/>
      <c r="H26" s="45" t="b">
        <f>IFERROR(__xludf.DUMMYFUNCTION("""COMPUTED_VALUE"""),FALSE)</f>
        <v>0</v>
      </c>
      <c r="I26" s="45" t="b">
        <f>IFERROR(__xludf.DUMMYFUNCTION("""COMPUTED_VALUE"""),FALSE)</f>
        <v>0</v>
      </c>
      <c r="J26" s="45" t="b">
        <f>IFERROR(__xludf.DUMMYFUNCTION("""COMPUTED_VALUE"""),TRUE)</f>
        <v>1</v>
      </c>
      <c r="K26" s="45" t="b">
        <f>IFERROR(__xludf.DUMMYFUNCTION("""COMPUTED_VALUE"""),TRUE)</f>
        <v>1</v>
      </c>
      <c r="L26" s="45" t="b">
        <f>IFERROR(__xludf.DUMMYFUNCTION("""COMPUTED_VALUE"""),TRUE)</f>
        <v>1</v>
      </c>
      <c r="M26" s="45" t="b">
        <f>IFERROR(__xludf.DUMMYFUNCTION("""COMPUTED_VALUE"""),TRUE)</f>
        <v>1</v>
      </c>
      <c r="N26" s="45" t="b">
        <f>IFERROR(__xludf.DUMMYFUNCTION("""COMPUTED_VALUE"""),TRUE)</f>
        <v>1</v>
      </c>
      <c r="O26" s="45" t="b">
        <f>IFERROR(__xludf.DUMMYFUNCTION("""COMPUTED_VALUE"""),FALSE)</f>
        <v>0</v>
      </c>
      <c r="P26" s="45" t="b">
        <f>IFERROR(__xludf.DUMMYFUNCTION("""COMPUTED_VALUE"""),FALSE)</f>
        <v>0</v>
      </c>
      <c r="Q26" s="45" t="b">
        <f>IFERROR(__xludf.DUMMYFUNCTION("""COMPUTED_VALUE"""),FALSE)</f>
        <v>0</v>
      </c>
      <c r="R26" s="45" t="b">
        <f>IFERROR(__xludf.DUMMYFUNCTION("""COMPUTED_VALUE"""),FALSE)</f>
        <v>0</v>
      </c>
      <c r="S26" s="45" t="b">
        <f>IFERROR(__xludf.DUMMYFUNCTION("""COMPUTED_VALUE"""),FALSE)</f>
        <v>0</v>
      </c>
      <c r="T26" s="45"/>
      <c r="U26" s="45" t="b">
        <f>IFERROR(__xludf.DUMMYFUNCTION("""COMPUTED_VALUE"""),TRUE)</f>
        <v>1</v>
      </c>
      <c r="V26" s="45" t="b">
        <f>IFERROR(__xludf.DUMMYFUNCTION("""COMPUTED_VALUE"""),FALSE)</f>
        <v>0</v>
      </c>
      <c r="W26" s="45" t="b">
        <f>IFERROR(__xludf.DUMMYFUNCTION("""COMPUTED_VALUE"""),FALSE)</f>
        <v>0</v>
      </c>
      <c r="X26" s="45" t="b">
        <f>IFERROR(__xludf.DUMMYFUNCTION("""COMPUTED_VALUE"""),FALSE)</f>
        <v>0</v>
      </c>
      <c r="Y26" s="45" t="b">
        <f>IFERROR(__xludf.DUMMYFUNCTION("""COMPUTED_VALUE"""),FALSE)</f>
        <v>0</v>
      </c>
      <c r="Z26" s="45" t="b">
        <f>IFERROR(__xludf.DUMMYFUNCTION("""COMPUTED_VALUE"""),FALSE)</f>
        <v>0</v>
      </c>
      <c r="AA26" s="45" t="b">
        <f>IFERROR(__xludf.DUMMYFUNCTION("""COMPUTED_VALUE"""),FALSE)</f>
        <v>0</v>
      </c>
      <c r="AB26" s="45" t="b">
        <f>IFERROR(__xludf.DUMMYFUNCTION("""COMPUTED_VALUE"""),FALSE)</f>
        <v>0</v>
      </c>
      <c r="AC26" s="45" t="b">
        <f>IFERROR(__xludf.DUMMYFUNCTION("""COMPUTED_VALUE"""),TRUE)</f>
        <v>1</v>
      </c>
      <c r="AD26" s="45" t="b">
        <f>IFERROR(__xludf.DUMMYFUNCTION("""COMPUTED_VALUE"""),TRUE)</f>
        <v>1</v>
      </c>
      <c r="AE26" s="45" t="b">
        <f>IFERROR(__xludf.DUMMYFUNCTION("""COMPUTED_VALUE"""),TRUE)</f>
        <v>1</v>
      </c>
      <c r="AF26" s="45" t="b">
        <f>IFERROR(__xludf.DUMMYFUNCTION("""COMPUTED_VALUE"""),TRUE)</f>
        <v>1</v>
      </c>
    </row>
    <row r="27">
      <c r="A27" s="45" t="b">
        <v>0</v>
      </c>
      <c r="B27" s="45" t="str">
        <f>IFERROR(__xludf.DUMMYFUNCTION("""COMPUTED_VALUE"""),"Wasp")</f>
        <v>Wasp</v>
      </c>
      <c r="C27" s="45">
        <f>IFERROR(__xludf.DUMMYFUNCTION("""COMPUTED_VALUE"""),2500.0)</f>
        <v>2500</v>
      </c>
      <c r="D27" s="45" t="str">
        <f>IFERROR(__xludf.DUMMYFUNCTION("""COMPUTED_VALUE"""),"All day")</f>
        <v>All day</v>
      </c>
      <c r="E27" s="45" t="str">
        <f>IFERROR(__xludf.DUMMYFUNCTION("""COMPUTED_VALUE"""),"Falls from shaking trees")</f>
        <v>Falls from shaking trees</v>
      </c>
      <c r="F27" s="45"/>
      <c r="G27" s="45"/>
      <c r="H27" s="45" t="b">
        <f>IFERROR(__xludf.DUMMYFUNCTION("""COMPUTED_VALUE"""),TRUE)</f>
        <v>1</v>
      </c>
      <c r="I27" s="45" t="b">
        <f>IFERROR(__xludf.DUMMYFUNCTION("""COMPUTED_VALUE"""),TRUE)</f>
        <v>1</v>
      </c>
      <c r="J27" s="45" t="b">
        <f>IFERROR(__xludf.DUMMYFUNCTION("""COMPUTED_VALUE"""),TRUE)</f>
        <v>1</v>
      </c>
      <c r="K27" s="45" t="b">
        <f>IFERROR(__xludf.DUMMYFUNCTION("""COMPUTED_VALUE"""),TRUE)</f>
        <v>1</v>
      </c>
      <c r="L27" s="45" t="b">
        <f>IFERROR(__xludf.DUMMYFUNCTION("""COMPUTED_VALUE"""),TRUE)</f>
        <v>1</v>
      </c>
      <c r="M27" s="45" t="b">
        <f>IFERROR(__xludf.DUMMYFUNCTION("""COMPUTED_VALUE"""),TRUE)</f>
        <v>1</v>
      </c>
      <c r="N27" s="45" t="b">
        <f>IFERROR(__xludf.DUMMYFUNCTION("""COMPUTED_VALUE"""),TRUE)</f>
        <v>1</v>
      </c>
      <c r="O27" s="45" t="b">
        <f>IFERROR(__xludf.DUMMYFUNCTION("""COMPUTED_VALUE"""),TRUE)</f>
        <v>1</v>
      </c>
      <c r="P27" s="45" t="b">
        <f>IFERROR(__xludf.DUMMYFUNCTION("""COMPUTED_VALUE"""),TRUE)</f>
        <v>1</v>
      </c>
      <c r="Q27" s="45" t="b">
        <f>IFERROR(__xludf.DUMMYFUNCTION("""COMPUTED_VALUE"""),TRUE)</f>
        <v>1</v>
      </c>
      <c r="R27" s="45" t="b">
        <f>IFERROR(__xludf.DUMMYFUNCTION("""COMPUTED_VALUE"""),TRUE)</f>
        <v>1</v>
      </c>
      <c r="S27" s="45" t="b">
        <f>IFERROR(__xludf.DUMMYFUNCTION("""COMPUTED_VALUE"""),TRUE)</f>
        <v>1</v>
      </c>
      <c r="T27" s="45"/>
      <c r="U27" s="45" t="b">
        <f>IFERROR(__xludf.DUMMYFUNCTION("""COMPUTED_VALUE"""),TRUE)</f>
        <v>1</v>
      </c>
      <c r="V27" s="45" t="b">
        <f>IFERROR(__xludf.DUMMYFUNCTION("""COMPUTED_VALUE"""),TRUE)</f>
        <v>1</v>
      </c>
      <c r="W27" s="45" t="b">
        <f>IFERROR(__xludf.DUMMYFUNCTION("""COMPUTED_VALUE"""),TRUE)</f>
        <v>1</v>
      </c>
      <c r="X27" s="45" t="b">
        <f>IFERROR(__xludf.DUMMYFUNCTION("""COMPUTED_VALUE"""),TRUE)</f>
        <v>1</v>
      </c>
      <c r="Y27" s="45" t="b">
        <f>IFERROR(__xludf.DUMMYFUNCTION("""COMPUTED_VALUE"""),TRUE)</f>
        <v>1</v>
      </c>
      <c r="Z27" s="45" t="b">
        <f>IFERROR(__xludf.DUMMYFUNCTION("""COMPUTED_VALUE"""),TRUE)</f>
        <v>1</v>
      </c>
      <c r="AA27" s="45" t="b">
        <f>IFERROR(__xludf.DUMMYFUNCTION("""COMPUTED_VALUE"""),TRUE)</f>
        <v>1</v>
      </c>
      <c r="AB27" s="45" t="b">
        <f>IFERROR(__xludf.DUMMYFUNCTION("""COMPUTED_VALUE"""),TRUE)</f>
        <v>1</v>
      </c>
      <c r="AC27" s="45" t="b">
        <f>IFERROR(__xludf.DUMMYFUNCTION("""COMPUTED_VALUE"""),TRUE)</f>
        <v>1</v>
      </c>
      <c r="AD27" s="45" t="b">
        <f>IFERROR(__xludf.DUMMYFUNCTION("""COMPUTED_VALUE"""),TRUE)</f>
        <v>1</v>
      </c>
      <c r="AE27" s="45" t="b">
        <f>IFERROR(__xludf.DUMMYFUNCTION("""COMPUTED_VALUE"""),TRUE)</f>
        <v>1</v>
      </c>
      <c r="AF27" s="45" t="b">
        <f>IFERROR(__xludf.DUMMYFUNCTION("""COMPUTED_VALUE"""),TRUE)</f>
        <v>1</v>
      </c>
    </row>
    <row r="28">
      <c r="A28" s="45" t="b">
        <v>0</v>
      </c>
      <c r="B28" s="45" t="str">
        <f>IFERROR(__xludf.DUMMYFUNCTION("""COMPUTED_VALUE"""),"Brown cicada")</f>
        <v>Brown cicada</v>
      </c>
      <c r="C28" s="45">
        <f>IFERROR(__xludf.DUMMYFUNCTION("""COMPUTED_VALUE"""),250.0)</f>
        <v>250</v>
      </c>
      <c r="D28" s="45" t="str">
        <f>IFERROR(__xludf.DUMMYFUNCTION("""COMPUTED_VALUE"""),"8 a.m. - 5 p.m.")</f>
        <v>8 a.m. - 5 p.m.</v>
      </c>
      <c r="E28" s="45" t="str">
        <f>IFERROR(__xludf.DUMMYFUNCTION("""COMPUTED_VALUE"""),"On trees")</f>
        <v>On trees</v>
      </c>
      <c r="F28" s="45"/>
      <c r="G28" s="45"/>
      <c r="H28" s="45" t="b">
        <f>IFERROR(__xludf.DUMMYFUNCTION("""COMPUTED_VALUE"""),FALSE)</f>
        <v>0</v>
      </c>
      <c r="I28" s="45" t="b">
        <f>IFERROR(__xludf.DUMMYFUNCTION("""COMPUTED_VALUE"""),FALSE)</f>
        <v>0</v>
      </c>
      <c r="J28" s="45" t="b">
        <f>IFERROR(__xludf.DUMMYFUNCTION("""COMPUTED_VALUE"""),FALSE)</f>
        <v>0</v>
      </c>
      <c r="K28" s="45" t="b">
        <f>IFERROR(__xludf.DUMMYFUNCTION("""COMPUTED_VALUE"""),FALSE)</f>
        <v>0</v>
      </c>
      <c r="L28" s="45" t="b">
        <f>IFERROR(__xludf.DUMMYFUNCTION("""COMPUTED_VALUE"""),FALSE)</f>
        <v>0</v>
      </c>
      <c r="M28" s="45" t="b">
        <f>IFERROR(__xludf.DUMMYFUNCTION("""COMPUTED_VALUE"""),FALSE)</f>
        <v>0</v>
      </c>
      <c r="N28" s="45" t="b">
        <f>IFERROR(__xludf.DUMMYFUNCTION("""COMPUTED_VALUE"""),TRUE)</f>
        <v>1</v>
      </c>
      <c r="O28" s="45" t="b">
        <f>IFERROR(__xludf.DUMMYFUNCTION("""COMPUTED_VALUE"""),TRUE)</f>
        <v>1</v>
      </c>
      <c r="P28" s="45" t="b">
        <f>IFERROR(__xludf.DUMMYFUNCTION("""COMPUTED_VALUE"""),FALSE)</f>
        <v>0</v>
      </c>
      <c r="Q28" s="45" t="b">
        <f>IFERROR(__xludf.DUMMYFUNCTION("""COMPUTED_VALUE"""),FALSE)</f>
        <v>0</v>
      </c>
      <c r="R28" s="45" t="b">
        <f>IFERROR(__xludf.DUMMYFUNCTION("""COMPUTED_VALUE"""),FALSE)</f>
        <v>0</v>
      </c>
      <c r="S28" s="45" t="b">
        <f>IFERROR(__xludf.DUMMYFUNCTION("""COMPUTED_VALUE"""),FALSE)</f>
        <v>0</v>
      </c>
      <c r="T28" s="45"/>
      <c r="U28" s="45" t="b">
        <f>IFERROR(__xludf.DUMMYFUNCTION("""COMPUTED_VALUE"""),TRUE)</f>
        <v>1</v>
      </c>
      <c r="V28" s="45" t="b">
        <f>IFERROR(__xludf.DUMMYFUNCTION("""COMPUTED_VALUE"""),TRUE)</f>
        <v>1</v>
      </c>
      <c r="W28" s="45" t="b">
        <f>IFERROR(__xludf.DUMMYFUNCTION("""COMPUTED_VALUE"""),FALSE)</f>
        <v>0</v>
      </c>
      <c r="X28" s="45" t="b">
        <f>IFERROR(__xludf.DUMMYFUNCTION("""COMPUTED_VALUE"""),FALSE)</f>
        <v>0</v>
      </c>
      <c r="Y28" s="45" t="b">
        <f>IFERROR(__xludf.DUMMYFUNCTION("""COMPUTED_VALUE"""),FALSE)</f>
        <v>0</v>
      </c>
      <c r="Z28" s="45" t="b">
        <f>IFERROR(__xludf.DUMMYFUNCTION("""COMPUTED_VALUE"""),FALSE)</f>
        <v>0</v>
      </c>
      <c r="AA28" s="45" t="b">
        <f>IFERROR(__xludf.DUMMYFUNCTION("""COMPUTED_VALUE"""),FALSE)</f>
        <v>0</v>
      </c>
      <c r="AB28" s="45" t="b">
        <f>IFERROR(__xludf.DUMMYFUNCTION("""COMPUTED_VALUE"""),FALSE)</f>
        <v>0</v>
      </c>
      <c r="AC28" s="45" t="b">
        <f>IFERROR(__xludf.DUMMYFUNCTION("""COMPUTED_VALUE"""),FALSE)</f>
        <v>0</v>
      </c>
      <c r="AD28" s="45" t="b">
        <f>IFERROR(__xludf.DUMMYFUNCTION("""COMPUTED_VALUE"""),FALSE)</f>
        <v>0</v>
      </c>
      <c r="AE28" s="45" t="b">
        <f>IFERROR(__xludf.DUMMYFUNCTION("""COMPUTED_VALUE"""),FALSE)</f>
        <v>0</v>
      </c>
      <c r="AF28" s="45" t="b">
        <f>IFERROR(__xludf.DUMMYFUNCTION("""COMPUTED_VALUE"""),FALSE)</f>
        <v>0</v>
      </c>
    </row>
    <row r="29">
      <c r="A29" s="45" t="b">
        <v>0</v>
      </c>
      <c r="B29" s="45" t="str">
        <f>IFERROR(__xludf.DUMMYFUNCTION("""COMPUTED_VALUE"""),"Robust cicada")</f>
        <v>Robust cicada</v>
      </c>
      <c r="C29" s="45">
        <f>IFERROR(__xludf.DUMMYFUNCTION("""COMPUTED_VALUE"""),300.0)</f>
        <v>300</v>
      </c>
      <c r="D29" s="45" t="str">
        <f>IFERROR(__xludf.DUMMYFUNCTION("""COMPUTED_VALUE"""),"8 a.m. - 5 p.m.")</f>
        <v>8 a.m. - 5 p.m.</v>
      </c>
      <c r="E29" s="45" t="str">
        <f>IFERROR(__xludf.DUMMYFUNCTION("""COMPUTED_VALUE"""),"On trees")</f>
        <v>On trees</v>
      </c>
      <c r="F29" s="45"/>
      <c r="G29" s="45"/>
      <c r="H29" s="45" t="b">
        <f>IFERROR(__xludf.DUMMYFUNCTION("""COMPUTED_VALUE"""),FALSE)</f>
        <v>0</v>
      </c>
      <c r="I29" s="45" t="b">
        <f>IFERROR(__xludf.DUMMYFUNCTION("""COMPUTED_VALUE"""),FALSE)</f>
        <v>0</v>
      </c>
      <c r="J29" s="45" t="b">
        <f>IFERROR(__xludf.DUMMYFUNCTION("""COMPUTED_VALUE"""),FALSE)</f>
        <v>0</v>
      </c>
      <c r="K29" s="45" t="b">
        <f>IFERROR(__xludf.DUMMYFUNCTION("""COMPUTED_VALUE"""),FALSE)</f>
        <v>0</v>
      </c>
      <c r="L29" s="45" t="b">
        <f>IFERROR(__xludf.DUMMYFUNCTION("""COMPUTED_VALUE"""),FALSE)</f>
        <v>0</v>
      </c>
      <c r="M29" s="45" t="b">
        <f>IFERROR(__xludf.DUMMYFUNCTION("""COMPUTED_VALUE"""),FALSE)</f>
        <v>0</v>
      </c>
      <c r="N29" s="45" t="b">
        <f>IFERROR(__xludf.DUMMYFUNCTION("""COMPUTED_VALUE"""),TRUE)</f>
        <v>1</v>
      </c>
      <c r="O29" s="45" t="b">
        <f>IFERROR(__xludf.DUMMYFUNCTION("""COMPUTED_VALUE"""),TRUE)</f>
        <v>1</v>
      </c>
      <c r="P29" s="45" t="b">
        <f>IFERROR(__xludf.DUMMYFUNCTION("""COMPUTED_VALUE"""),FALSE)</f>
        <v>0</v>
      </c>
      <c r="Q29" s="45" t="b">
        <f>IFERROR(__xludf.DUMMYFUNCTION("""COMPUTED_VALUE"""),FALSE)</f>
        <v>0</v>
      </c>
      <c r="R29" s="45" t="b">
        <f>IFERROR(__xludf.DUMMYFUNCTION("""COMPUTED_VALUE"""),FALSE)</f>
        <v>0</v>
      </c>
      <c r="S29" s="45" t="b">
        <f>IFERROR(__xludf.DUMMYFUNCTION("""COMPUTED_VALUE"""),FALSE)</f>
        <v>0</v>
      </c>
      <c r="T29" s="45"/>
      <c r="U29" s="45" t="b">
        <f>IFERROR(__xludf.DUMMYFUNCTION("""COMPUTED_VALUE"""),TRUE)</f>
        <v>1</v>
      </c>
      <c r="V29" s="45" t="b">
        <f>IFERROR(__xludf.DUMMYFUNCTION("""COMPUTED_VALUE"""),TRUE)</f>
        <v>1</v>
      </c>
      <c r="W29" s="45" t="b">
        <f>IFERROR(__xludf.DUMMYFUNCTION("""COMPUTED_VALUE"""),FALSE)</f>
        <v>0</v>
      </c>
      <c r="X29" s="45" t="b">
        <f>IFERROR(__xludf.DUMMYFUNCTION("""COMPUTED_VALUE"""),FALSE)</f>
        <v>0</v>
      </c>
      <c r="Y29" s="45" t="b">
        <f>IFERROR(__xludf.DUMMYFUNCTION("""COMPUTED_VALUE"""),FALSE)</f>
        <v>0</v>
      </c>
      <c r="Z29" s="45" t="b">
        <f>IFERROR(__xludf.DUMMYFUNCTION("""COMPUTED_VALUE"""),FALSE)</f>
        <v>0</v>
      </c>
      <c r="AA29" s="45" t="b">
        <f>IFERROR(__xludf.DUMMYFUNCTION("""COMPUTED_VALUE"""),FALSE)</f>
        <v>0</v>
      </c>
      <c r="AB29" s="45" t="b">
        <f>IFERROR(__xludf.DUMMYFUNCTION("""COMPUTED_VALUE"""),FALSE)</f>
        <v>0</v>
      </c>
      <c r="AC29" s="45" t="b">
        <f>IFERROR(__xludf.DUMMYFUNCTION("""COMPUTED_VALUE"""),FALSE)</f>
        <v>0</v>
      </c>
      <c r="AD29" s="45" t="b">
        <f>IFERROR(__xludf.DUMMYFUNCTION("""COMPUTED_VALUE"""),FALSE)</f>
        <v>0</v>
      </c>
      <c r="AE29" s="45" t="b">
        <f>IFERROR(__xludf.DUMMYFUNCTION("""COMPUTED_VALUE"""),FALSE)</f>
        <v>0</v>
      </c>
      <c r="AF29" s="45" t="b">
        <f>IFERROR(__xludf.DUMMYFUNCTION("""COMPUTED_VALUE"""),FALSE)</f>
        <v>0</v>
      </c>
    </row>
    <row r="30">
      <c r="A30" s="45" t="b">
        <v>0</v>
      </c>
      <c r="B30" s="45" t="str">
        <f>IFERROR(__xludf.DUMMYFUNCTION("""COMPUTED_VALUE"""),"Giant cicada")</f>
        <v>Giant cicada</v>
      </c>
      <c r="C30" s="45">
        <f>IFERROR(__xludf.DUMMYFUNCTION("""COMPUTED_VALUE"""),500.0)</f>
        <v>500</v>
      </c>
      <c r="D30" s="45" t="str">
        <f>IFERROR(__xludf.DUMMYFUNCTION("""COMPUTED_VALUE"""),"8 a.m. - 5 p.m.")</f>
        <v>8 a.m. - 5 p.m.</v>
      </c>
      <c r="E30" s="45" t="str">
        <f>IFERROR(__xludf.DUMMYFUNCTION("""COMPUTED_VALUE"""),"On trees")</f>
        <v>On trees</v>
      </c>
      <c r="F30" s="45"/>
      <c r="G30" s="45"/>
      <c r="H30" s="45" t="b">
        <f>IFERROR(__xludf.DUMMYFUNCTION("""COMPUTED_VALUE"""),FALSE)</f>
        <v>0</v>
      </c>
      <c r="I30" s="45" t="b">
        <f>IFERROR(__xludf.DUMMYFUNCTION("""COMPUTED_VALUE"""),FALSE)</f>
        <v>0</v>
      </c>
      <c r="J30" s="45" t="b">
        <f>IFERROR(__xludf.DUMMYFUNCTION("""COMPUTED_VALUE"""),FALSE)</f>
        <v>0</v>
      </c>
      <c r="K30" s="45" t="b">
        <f>IFERROR(__xludf.DUMMYFUNCTION("""COMPUTED_VALUE"""),FALSE)</f>
        <v>0</v>
      </c>
      <c r="L30" s="45" t="b">
        <f>IFERROR(__xludf.DUMMYFUNCTION("""COMPUTED_VALUE"""),FALSE)</f>
        <v>0</v>
      </c>
      <c r="M30" s="45" t="b">
        <f>IFERROR(__xludf.DUMMYFUNCTION("""COMPUTED_VALUE"""),FALSE)</f>
        <v>0</v>
      </c>
      <c r="N30" s="45" t="b">
        <f>IFERROR(__xludf.DUMMYFUNCTION("""COMPUTED_VALUE"""),TRUE)</f>
        <v>1</v>
      </c>
      <c r="O30" s="45" t="b">
        <f>IFERROR(__xludf.DUMMYFUNCTION("""COMPUTED_VALUE"""),TRUE)</f>
        <v>1</v>
      </c>
      <c r="P30" s="45" t="b">
        <f>IFERROR(__xludf.DUMMYFUNCTION("""COMPUTED_VALUE"""),FALSE)</f>
        <v>0</v>
      </c>
      <c r="Q30" s="45" t="b">
        <f>IFERROR(__xludf.DUMMYFUNCTION("""COMPUTED_VALUE"""),FALSE)</f>
        <v>0</v>
      </c>
      <c r="R30" s="45" t="b">
        <f>IFERROR(__xludf.DUMMYFUNCTION("""COMPUTED_VALUE"""),FALSE)</f>
        <v>0</v>
      </c>
      <c r="S30" s="45" t="b">
        <f>IFERROR(__xludf.DUMMYFUNCTION("""COMPUTED_VALUE"""),FALSE)</f>
        <v>0</v>
      </c>
      <c r="T30" s="45"/>
      <c r="U30" s="45" t="b">
        <f>IFERROR(__xludf.DUMMYFUNCTION("""COMPUTED_VALUE"""),TRUE)</f>
        <v>1</v>
      </c>
      <c r="V30" s="45" t="b">
        <f>IFERROR(__xludf.DUMMYFUNCTION("""COMPUTED_VALUE"""),TRUE)</f>
        <v>1</v>
      </c>
      <c r="W30" s="45" t="b">
        <f>IFERROR(__xludf.DUMMYFUNCTION("""COMPUTED_VALUE"""),FALSE)</f>
        <v>0</v>
      </c>
      <c r="X30" s="45" t="b">
        <f>IFERROR(__xludf.DUMMYFUNCTION("""COMPUTED_VALUE"""),FALSE)</f>
        <v>0</v>
      </c>
      <c r="Y30" s="45" t="b">
        <f>IFERROR(__xludf.DUMMYFUNCTION("""COMPUTED_VALUE"""),FALSE)</f>
        <v>0</v>
      </c>
      <c r="Z30" s="45" t="b">
        <f>IFERROR(__xludf.DUMMYFUNCTION("""COMPUTED_VALUE"""),FALSE)</f>
        <v>0</v>
      </c>
      <c r="AA30" s="45" t="b">
        <f>IFERROR(__xludf.DUMMYFUNCTION("""COMPUTED_VALUE"""),FALSE)</f>
        <v>0</v>
      </c>
      <c r="AB30" s="45" t="b">
        <f>IFERROR(__xludf.DUMMYFUNCTION("""COMPUTED_VALUE"""),FALSE)</f>
        <v>0</v>
      </c>
      <c r="AC30" s="45" t="b">
        <f>IFERROR(__xludf.DUMMYFUNCTION("""COMPUTED_VALUE"""),FALSE)</f>
        <v>0</v>
      </c>
      <c r="AD30" s="45" t="b">
        <f>IFERROR(__xludf.DUMMYFUNCTION("""COMPUTED_VALUE"""),FALSE)</f>
        <v>0</v>
      </c>
      <c r="AE30" s="45" t="b">
        <f>IFERROR(__xludf.DUMMYFUNCTION("""COMPUTED_VALUE"""),FALSE)</f>
        <v>0</v>
      </c>
      <c r="AF30" s="45" t="b">
        <f>IFERROR(__xludf.DUMMYFUNCTION("""COMPUTED_VALUE"""),FALSE)</f>
        <v>0</v>
      </c>
    </row>
    <row r="31">
      <c r="A31" s="45" t="b">
        <v>0</v>
      </c>
      <c r="B31" s="45" t="str">
        <f>IFERROR(__xludf.DUMMYFUNCTION("""COMPUTED_VALUE"""),"Walker cicada")</f>
        <v>Walker cicada</v>
      </c>
      <c r="C31" s="45">
        <f>IFERROR(__xludf.DUMMYFUNCTION("""COMPUTED_VALUE"""),400.0)</f>
        <v>400</v>
      </c>
      <c r="D31" s="45" t="str">
        <f>IFERROR(__xludf.DUMMYFUNCTION("""COMPUTED_VALUE"""),"8 a.m. - 5 p.m.")</f>
        <v>8 a.m. - 5 p.m.</v>
      </c>
      <c r="E31" s="45" t="str">
        <f>IFERROR(__xludf.DUMMYFUNCTION("""COMPUTED_VALUE"""),"On trees")</f>
        <v>On trees</v>
      </c>
      <c r="F31" s="45"/>
      <c r="G31" s="45"/>
      <c r="H31" s="45" t="b">
        <f>IFERROR(__xludf.DUMMYFUNCTION("""COMPUTED_VALUE"""),FALSE)</f>
        <v>0</v>
      </c>
      <c r="I31" s="45" t="b">
        <f>IFERROR(__xludf.DUMMYFUNCTION("""COMPUTED_VALUE"""),FALSE)</f>
        <v>0</v>
      </c>
      <c r="J31" s="45" t="b">
        <f>IFERROR(__xludf.DUMMYFUNCTION("""COMPUTED_VALUE"""),FALSE)</f>
        <v>0</v>
      </c>
      <c r="K31" s="45" t="b">
        <f>IFERROR(__xludf.DUMMYFUNCTION("""COMPUTED_VALUE"""),FALSE)</f>
        <v>0</v>
      </c>
      <c r="L31" s="45" t="b">
        <f>IFERROR(__xludf.DUMMYFUNCTION("""COMPUTED_VALUE"""),FALSE)</f>
        <v>0</v>
      </c>
      <c r="M31" s="45" t="b">
        <f>IFERROR(__xludf.DUMMYFUNCTION("""COMPUTED_VALUE"""),FALSE)</f>
        <v>0</v>
      </c>
      <c r="N31" s="45" t="b">
        <f>IFERROR(__xludf.DUMMYFUNCTION("""COMPUTED_VALUE"""),FALSE)</f>
        <v>0</v>
      </c>
      <c r="O31" s="45" t="b">
        <f>IFERROR(__xludf.DUMMYFUNCTION("""COMPUTED_VALUE"""),TRUE)</f>
        <v>1</v>
      </c>
      <c r="P31" s="45" t="b">
        <f>IFERROR(__xludf.DUMMYFUNCTION("""COMPUTED_VALUE"""),TRUE)</f>
        <v>1</v>
      </c>
      <c r="Q31" s="45" t="b">
        <f>IFERROR(__xludf.DUMMYFUNCTION("""COMPUTED_VALUE"""),FALSE)</f>
        <v>0</v>
      </c>
      <c r="R31" s="45" t="b">
        <f>IFERROR(__xludf.DUMMYFUNCTION("""COMPUTED_VALUE"""),FALSE)</f>
        <v>0</v>
      </c>
      <c r="S31" s="45" t="b">
        <f>IFERROR(__xludf.DUMMYFUNCTION("""COMPUTED_VALUE"""),FALSE)</f>
        <v>0</v>
      </c>
      <c r="T31" s="45"/>
      <c r="U31" s="45" t="b">
        <f>IFERROR(__xludf.DUMMYFUNCTION("""COMPUTED_VALUE"""),FALSE)</f>
        <v>0</v>
      </c>
      <c r="V31" s="45" t="b">
        <f>IFERROR(__xludf.DUMMYFUNCTION("""COMPUTED_VALUE"""),TRUE)</f>
        <v>1</v>
      </c>
      <c r="W31" s="45" t="b">
        <f>IFERROR(__xludf.DUMMYFUNCTION("""COMPUTED_VALUE"""),TRUE)</f>
        <v>1</v>
      </c>
      <c r="X31" s="45" t="b">
        <f>IFERROR(__xludf.DUMMYFUNCTION("""COMPUTED_VALUE"""),FALSE)</f>
        <v>0</v>
      </c>
      <c r="Y31" s="45" t="b">
        <f>IFERROR(__xludf.DUMMYFUNCTION("""COMPUTED_VALUE"""),FALSE)</f>
        <v>0</v>
      </c>
      <c r="Z31" s="45" t="b">
        <f>IFERROR(__xludf.DUMMYFUNCTION("""COMPUTED_VALUE"""),FALSE)</f>
        <v>0</v>
      </c>
      <c r="AA31" s="45" t="b">
        <f>IFERROR(__xludf.DUMMYFUNCTION("""COMPUTED_VALUE"""),FALSE)</f>
        <v>0</v>
      </c>
      <c r="AB31" s="45" t="b">
        <f>IFERROR(__xludf.DUMMYFUNCTION("""COMPUTED_VALUE"""),FALSE)</f>
        <v>0</v>
      </c>
      <c r="AC31" s="45" t="b">
        <f>IFERROR(__xludf.DUMMYFUNCTION("""COMPUTED_VALUE"""),FALSE)</f>
        <v>0</v>
      </c>
      <c r="AD31" s="45" t="b">
        <f>IFERROR(__xludf.DUMMYFUNCTION("""COMPUTED_VALUE"""),FALSE)</f>
        <v>0</v>
      </c>
      <c r="AE31" s="45" t="b">
        <f>IFERROR(__xludf.DUMMYFUNCTION("""COMPUTED_VALUE"""),FALSE)</f>
        <v>0</v>
      </c>
      <c r="AF31" s="45" t="b">
        <f>IFERROR(__xludf.DUMMYFUNCTION("""COMPUTED_VALUE"""),FALSE)</f>
        <v>0</v>
      </c>
    </row>
    <row r="32">
      <c r="A32" s="45" t="b">
        <v>0</v>
      </c>
      <c r="B32" s="45" t="str">
        <f>IFERROR(__xludf.DUMMYFUNCTION("""COMPUTED_VALUE"""),"Evening cicada")</f>
        <v>Evening cicada</v>
      </c>
      <c r="C32" s="45">
        <f>IFERROR(__xludf.DUMMYFUNCTION("""COMPUTED_VALUE"""),550.0)</f>
        <v>550</v>
      </c>
      <c r="D32" s="45" t="str">
        <f>IFERROR(__xludf.DUMMYFUNCTION("""COMPUTED_VALUE"""),"4 a.m. - 8 a.m., 4 p.m. - 7 p.m.")</f>
        <v>4 a.m. - 8 a.m., 4 p.m. - 7 p.m.</v>
      </c>
      <c r="E32" s="45" t="str">
        <f>IFERROR(__xludf.DUMMYFUNCTION("""COMPUTED_VALUE"""),"On trees")</f>
        <v>On trees</v>
      </c>
      <c r="F32" s="45"/>
      <c r="G32" s="45"/>
      <c r="H32" s="45" t="b">
        <f>IFERROR(__xludf.DUMMYFUNCTION("""COMPUTED_VALUE"""),FALSE)</f>
        <v>0</v>
      </c>
      <c r="I32" s="45" t="b">
        <f>IFERROR(__xludf.DUMMYFUNCTION("""COMPUTED_VALUE"""),FALSE)</f>
        <v>0</v>
      </c>
      <c r="J32" s="45" t="b">
        <f>IFERROR(__xludf.DUMMYFUNCTION("""COMPUTED_VALUE"""),FALSE)</f>
        <v>0</v>
      </c>
      <c r="K32" s="45" t="b">
        <f>IFERROR(__xludf.DUMMYFUNCTION("""COMPUTED_VALUE"""),FALSE)</f>
        <v>0</v>
      </c>
      <c r="L32" s="45" t="b">
        <f>IFERROR(__xludf.DUMMYFUNCTION("""COMPUTED_VALUE"""),FALSE)</f>
        <v>0</v>
      </c>
      <c r="M32" s="45" t="b">
        <f>IFERROR(__xludf.DUMMYFUNCTION("""COMPUTED_VALUE"""),FALSE)</f>
        <v>0</v>
      </c>
      <c r="N32" s="45" t="b">
        <f>IFERROR(__xludf.DUMMYFUNCTION("""COMPUTED_VALUE"""),TRUE)</f>
        <v>1</v>
      </c>
      <c r="O32" s="45" t="b">
        <f>IFERROR(__xludf.DUMMYFUNCTION("""COMPUTED_VALUE"""),TRUE)</f>
        <v>1</v>
      </c>
      <c r="P32" s="45" t="b">
        <f>IFERROR(__xludf.DUMMYFUNCTION("""COMPUTED_VALUE"""),FALSE)</f>
        <v>0</v>
      </c>
      <c r="Q32" s="45" t="b">
        <f>IFERROR(__xludf.DUMMYFUNCTION("""COMPUTED_VALUE"""),FALSE)</f>
        <v>0</v>
      </c>
      <c r="R32" s="45" t="b">
        <f>IFERROR(__xludf.DUMMYFUNCTION("""COMPUTED_VALUE"""),FALSE)</f>
        <v>0</v>
      </c>
      <c r="S32" s="45" t="b">
        <f>IFERROR(__xludf.DUMMYFUNCTION("""COMPUTED_VALUE"""),FALSE)</f>
        <v>0</v>
      </c>
      <c r="T32" s="45"/>
      <c r="U32" s="45" t="b">
        <f>IFERROR(__xludf.DUMMYFUNCTION("""COMPUTED_VALUE"""),TRUE)</f>
        <v>1</v>
      </c>
      <c r="V32" s="45" t="b">
        <f>IFERROR(__xludf.DUMMYFUNCTION("""COMPUTED_VALUE"""),TRUE)</f>
        <v>1</v>
      </c>
      <c r="W32" s="45" t="b">
        <f>IFERROR(__xludf.DUMMYFUNCTION("""COMPUTED_VALUE"""),FALSE)</f>
        <v>0</v>
      </c>
      <c r="X32" s="45" t="b">
        <f>IFERROR(__xludf.DUMMYFUNCTION("""COMPUTED_VALUE"""),FALSE)</f>
        <v>0</v>
      </c>
      <c r="Y32" s="45" t="b">
        <f>IFERROR(__xludf.DUMMYFUNCTION("""COMPUTED_VALUE"""),FALSE)</f>
        <v>0</v>
      </c>
      <c r="Z32" s="45" t="b">
        <f>IFERROR(__xludf.DUMMYFUNCTION("""COMPUTED_VALUE"""),FALSE)</f>
        <v>0</v>
      </c>
      <c r="AA32" s="45" t="b">
        <f>IFERROR(__xludf.DUMMYFUNCTION("""COMPUTED_VALUE"""),FALSE)</f>
        <v>0</v>
      </c>
      <c r="AB32" s="45" t="b">
        <f>IFERROR(__xludf.DUMMYFUNCTION("""COMPUTED_VALUE"""),FALSE)</f>
        <v>0</v>
      </c>
      <c r="AC32" s="45" t="b">
        <f>IFERROR(__xludf.DUMMYFUNCTION("""COMPUTED_VALUE"""),FALSE)</f>
        <v>0</v>
      </c>
      <c r="AD32" s="45" t="b">
        <f>IFERROR(__xludf.DUMMYFUNCTION("""COMPUTED_VALUE"""),FALSE)</f>
        <v>0</v>
      </c>
      <c r="AE32" s="45" t="b">
        <f>IFERROR(__xludf.DUMMYFUNCTION("""COMPUTED_VALUE"""),FALSE)</f>
        <v>0</v>
      </c>
      <c r="AF32" s="45" t="b">
        <f>IFERROR(__xludf.DUMMYFUNCTION("""COMPUTED_VALUE"""),FALSE)</f>
        <v>0</v>
      </c>
    </row>
    <row r="33">
      <c r="A33" s="45" t="b">
        <v>0</v>
      </c>
      <c r="B33" s="45" t="str">
        <f>IFERROR(__xludf.DUMMYFUNCTION("""COMPUTED_VALUE"""),"Cicada shell")</f>
        <v>Cicada shell</v>
      </c>
      <c r="C33" s="45">
        <f>IFERROR(__xludf.DUMMYFUNCTION("""COMPUTED_VALUE"""),10.0)</f>
        <v>10</v>
      </c>
      <c r="D33" s="45" t="str">
        <f>IFERROR(__xludf.DUMMYFUNCTION("""COMPUTED_VALUE"""),"All day")</f>
        <v>All day</v>
      </c>
      <c r="E33" s="45" t="str">
        <f>IFERROR(__xludf.DUMMYFUNCTION("""COMPUTED_VALUE"""),"On trees")</f>
        <v>On trees</v>
      </c>
      <c r="F33" s="45"/>
      <c r="G33" s="45"/>
      <c r="H33" s="45" t="b">
        <f>IFERROR(__xludf.DUMMYFUNCTION("""COMPUTED_VALUE"""),FALSE)</f>
        <v>0</v>
      </c>
      <c r="I33" s="45" t="b">
        <f>IFERROR(__xludf.DUMMYFUNCTION("""COMPUTED_VALUE"""),FALSE)</f>
        <v>0</v>
      </c>
      <c r="J33" s="45" t="b">
        <f>IFERROR(__xludf.DUMMYFUNCTION("""COMPUTED_VALUE"""),FALSE)</f>
        <v>0</v>
      </c>
      <c r="K33" s="45" t="b">
        <f>IFERROR(__xludf.DUMMYFUNCTION("""COMPUTED_VALUE"""),FALSE)</f>
        <v>0</v>
      </c>
      <c r="L33" s="45" t="b">
        <f>IFERROR(__xludf.DUMMYFUNCTION("""COMPUTED_VALUE"""),FALSE)</f>
        <v>0</v>
      </c>
      <c r="M33" s="45" t="b">
        <f>IFERROR(__xludf.DUMMYFUNCTION("""COMPUTED_VALUE"""),FALSE)</f>
        <v>0</v>
      </c>
      <c r="N33" s="45" t="b">
        <f>IFERROR(__xludf.DUMMYFUNCTION("""COMPUTED_VALUE"""),TRUE)</f>
        <v>1</v>
      </c>
      <c r="O33" s="45" t="b">
        <f>IFERROR(__xludf.DUMMYFUNCTION("""COMPUTED_VALUE"""),TRUE)</f>
        <v>1</v>
      </c>
      <c r="P33" s="45" t="b">
        <f>IFERROR(__xludf.DUMMYFUNCTION("""COMPUTED_VALUE"""),FALSE)</f>
        <v>0</v>
      </c>
      <c r="Q33" s="45" t="b">
        <f>IFERROR(__xludf.DUMMYFUNCTION("""COMPUTED_VALUE"""),FALSE)</f>
        <v>0</v>
      </c>
      <c r="R33" s="45" t="b">
        <f>IFERROR(__xludf.DUMMYFUNCTION("""COMPUTED_VALUE"""),FALSE)</f>
        <v>0</v>
      </c>
      <c r="S33" s="45" t="b">
        <f>IFERROR(__xludf.DUMMYFUNCTION("""COMPUTED_VALUE"""),FALSE)</f>
        <v>0</v>
      </c>
      <c r="T33" s="45"/>
      <c r="U33" s="45" t="b">
        <f>IFERROR(__xludf.DUMMYFUNCTION("""COMPUTED_VALUE"""),TRUE)</f>
        <v>1</v>
      </c>
      <c r="V33" s="45" t="b">
        <f>IFERROR(__xludf.DUMMYFUNCTION("""COMPUTED_VALUE"""),TRUE)</f>
        <v>1</v>
      </c>
      <c r="W33" s="45" t="b">
        <f>IFERROR(__xludf.DUMMYFUNCTION("""COMPUTED_VALUE"""),FALSE)</f>
        <v>0</v>
      </c>
      <c r="X33" s="45" t="b">
        <f>IFERROR(__xludf.DUMMYFUNCTION("""COMPUTED_VALUE"""),FALSE)</f>
        <v>0</v>
      </c>
      <c r="Y33" s="45" t="b">
        <f>IFERROR(__xludf.DUMMYFUNCTION("""COMPUTED_VALUE"""),FALSE)</f>
        <v>0</v>
      </c>
      <c r="Z33" s="45" t="b">
        <f>IFERROR(__xludf.DUMMYFUNCTION("""COMPUTED_VALUE"""),FALSE)</f>
        <v>0</v>
      </c>
      <c r="AA33" s="45" t="b">
        <f>IFERROR(__xludf.DUMMYFUNCTION("""COMPUTED_VALUE"""),FALSE)</f>
        <v>0</v>
      </c>
      <c r="AB33" s="45" t="b">
        <f>IFERROR(__xludf.DUMMYFUNCTION("""COMPUTED_VALUE"""),FALSE)</f>
        <v>0</v>
      </c>
      <c r="AC33" s="45" t="b">
        <f>IFERROR(__xludf.DUMMYFUNCTION("""COMPUTED_VALUE"""),FALSE)</f>
        <v>0</v>
      </c>
      <c r="AD33" s="45" t="b">
        <f>IFERROR(__xludf.DUMMYFUNCTION("""COMPUTED_VALUE"""),FALSE)</f>
        <v>0</v>
      </c>
      <c r="AE33" s="45" t="b">
        <f>IFERROR(__xludf.DUMMYFUNCTION("""COMPUTED_VALUE"""),FALSE)</f>
        <v>0</v>
      </c>
      <c r="AF33" s="45" t="b">
        <f>IFERROR(__xludf.DUMMYFUNCTION("""COMPUTED_VALUE"""),FALSE)</f>
        <v>0</v>
      </c>
    </row>
    <row r="34">
      <c r="A34" s="45" t="b">
        <v>0</v>
      </c>
      <c r="B34" s="45" t="str">
        <f>IFERROR(__xludf.DUMMYFUNCTION("""COMPUTED_VALUE"""),"Red dragonfly")</f>
        <v>Red dragonfly</v>
      </c>
      <c r="C34" s="45">
        <f>IFERROR(__xludf.DUMMYFUNCTION("""COMPUTED_VALUE"""),180.0)</f>
        <v>180</v>
      </c>
      <c r="D34" s="45" t="str">
        <f>IFERROR(__xludf.DUMMYFUNCTION("""COMPUTED_VALUE"""),"8 a.m. - 7 p.m.")</f>
        <v>8 a.m. - 7 p.m.</v>
      </c>
      <c r="E34" s="45" t="str">
        <f>IFERROR(__xludf.DUMMYFUNCTION("""COMPUTED_VALUE"""),"Flying")</f>
        <v>Flying</v>
      </c>
      <c r="F34" s="45"/>
      <c r="G34" s="45"/>
      <c r="H34" s="45" t="b">
        <f>IFERROR(__xludf.DUMMYFUNCTION("""COMPUTED_VALUE"""),FALSE)</f>
        <v>0</v>
      </c>
      <c r="I34" s="45" t="b">
        <f>IFERROR(__xludf.DUMMYFUNCTION("""COMPUTED_VALUE"""),FALSE)</f>
        <v>0</v>
      </c>
      <c r="J34" s="45" t="b">
        <f>IFERROR(__xludf.DUMMYFUNCTION("""COMPUTED_VALUE"""),FALSE)</f>
        <v>0</v>
      </c>
      <c r="K34" s="45" t="b">
        <f>IFERROR(__xludf.DUMMYFUNCTION("""COMPUTED_VALUE"""),FALSE)</f>
        <v>0</v>
      </c>
      <c r="L34" s="45" t="b">
        <f>IFERROR(__xludf.DUMMYFUNCTION("""COMPUTED_VALUE"""),FALSE)</f>
        <v>0</v>
      </c>
      <c r="M34" s="45" t="b">
        <f>IFERROR(__xludf.DUMMYFUNCTION("""COMPUTED_VALUE"""),FALSE)</f>
        <v>0</v>
      </c>
      <c r="N34" s="45" t="b">
        <f>IFERROR(__xludf.DUMMYFUNCTION("""COMPUTED_VALUE"""),FALSE)</f>
        <v>0</v>
      </c>
      <c r="O34" s="45" t="b">
        <f>IFERROR(__xludf.DUMMYFUNCTION("""COMPUTED_VALUE"""),FALSE)</f>
        <v>0</v>
      </c>
      <c r="P34" s="45" t="b">
        <f>IFERROR(__xludf.DUMMYFUNCTION("""COMPUTED_VALUE"""),TRUE)</f>
        <v>1</v>
      </c>
      <c r="Q34" s="45" t="b">
        <f>IFERROR(__xludf.DUMMYFUNCTION("""COMPUTED_VALUE"""),TRUE)</f>
        <v>1</v>
      </c>
      <c r="R34" s="45" t="b">
        <f>IFERROR(__xludf.DUMMYFUNCTION("""COMPUTED_VALUE"""),FALSE)</f>
        <v>0</v>
      </c>
      <c r="S34" s="45" t="b">
        <f>IFERROR(__xludf.DUMMYFUNCTION("""COMPUTED_VALUE"""),FALSE)</f>
        <v>0</v>
      </c>
      <c r="T34" s="45"/>
      <c r="U34" s="45" t="b">
        <f>IFERROR(__xludf.DUMMYFUNCTION("""COMPUTED_VALUE"""),FALSE)</f>
        <v>0</v>
      </c>
      <c r="V34" s="45" t="b">
        <f>IFERROR(__xludf.DUMMYFUNCTION("""COMPUTED_VALUE"""),FALSE)</f>
        <v>0</v>
      </c>
      <c r="W34" s="45" t="b">
        <f>IFERROR(__xludf.DUMMYFUNCTION("""COMPUTED_VALUE"""),TRUE)</f>
        <v>1</v>
      </c>
      <c r="X34" s="45" t="b">
        <f>IFERROR(__xludf.DUMMYFUNCTION("""COMPUTED_VALUE"""),TRUE)</f>
        <v>1</v>
      </c>
      <c r="Y34" s="45" t="b">
        <f>IFERROR(__xludf.DUMMYFUNCTION("""COMPUTED_VALUE"""),FALSE)</f>
        <v>0</v>
      </c>
      <c r="Z34" s="45" t="b">
        <f>IFERROR(__xludf.DUMMYFUNCTION("""COMPUTED_VALUE"""),FALSE)</f>
        <v>0</v>
      </c>
      <c r="AA34" s="45" t="b">
        <f>IFERROR(__xludf.DUMMYFUNCTION("""COMPUTED_VALUE"""),FALSE)</f>
        <v>0</v>
      </c>
      <c r="AB34" s="45" t="b">
        <f>IFERROR(__xludf.DUMMYFUNCTION("""COMPUTED_VALUE"""),FALSE)</f>
        <v>0</v>
      </c>
      <c r="AC34" s="45" t="b">
        <f>IFERROR(__xludf.DUMMYFUNCTION("""COMPUTED_VALUE"""),FALSE)</f>
        <v>0</v>
      </c>
      <c r="AD34" s="45" t="b">
        <f>IFERROR(__xludf.DUMMYFUNCTION("""COMPUTED_VALUE"""),FALSE)</f>
        <v>0</v>
      </c>
      <c r="AE34" s="45" t="b">
        <f>IFERROR(__xludf.DUMMYFUNCTION("""COMPUTED_VALUE"""),FALSE)</f>
        <v>0</v>
      </c>
      <c r="AF34" s="45" t="b">
        <f>IFERROR(__xludf.DUMMYFUNCTION("""COMPUTED_VALUE"""),FALSE)</f>
        <v>0</v>
      </c>
    </row>
    <row r="35">
      <c r="A35" s="45" t="b">
        <v>0</v>
      </c>
      <c r="B35" s="45" t="str">
        <f>IFERROR(__xludf.DUMMYFUNCTION("""COMPUTED_VALUE"""),"Darner dragonfly")</f>
        <v>Darner dragonfly</v>
      </c>
      <c r="C35" s="45">
        <f>IFERROR(__xludf.DUMMYFUNCTION("""COMPUTED_VALUE"""),230.0)</f>
        <v>230</v>
      </c>
      <c r="D35" s="45" t="str">
        <f>IFERROR(__xludf.DUMMYFUNCTION("""COMPUTED_VALUE"""),"8 a.m. - 5 p.m.")</f>
        <v>8 a.m. - 5 p.m.</v>
      </c>
      <c r="E35" s="45" t="str">
        <f>IFERROR(__xludf.DUMMYFUNCTION("""COMPUTED_VALUE"""),"Flying")</f>
        <v>Flying</v>
      </c>
      <c r="F35" s="45"/>
      <c r="G35" s="45"/>
      <c r="H35" s="45" t="b">
        <f>IFERROR(__xludf.DUMMYFUNCTION("""COMPUTED_VALUE"""),FALSE)</f>
        <v>0</v>
      </c>
      <c r="I35" s="45" t="b">
        <f>IFERROR(__xludf.DUMMYFUNCTION("""COMPUTED_VALUE"""),FALSE)</f>
        <v>0</v>
      </c>
      <c r="J35" s="45" t="b">
        <f>IFERROR(__xludf.DUMMYFUNCTION("""COMPUTED_VALUE"""),FALSE)</f>
        <v>0</v>
      </c>
      <c r="K35" s="45" t="b">
        <f>IFERROR(__xludf.DUMMYFUNCTION("""COMPUTED_VALUE"""),TRUE)</f>
        <v>1</v>
      </c>
      <c r="L35" s="45" t="b">
        <f>IFERROR(__xludf.DUMMYFUNCTION("""COMPUTED_VALUE"""),TRUE)</f>
        <v>1</v>
      </c>
      <c r="M35" s="45" t="b">
        <f>IFERROR(__xludf.DUMMYFUNCTION("""COMPUTED_VALUE"""),TRUE)</f>
        <v>1</v>
      </c>
      <c r="N35" s="45" t="b">
        <f>IFERROR(__xludf.DUMMYFUNCTION("""COMPUTED_VALUE"""),TRUE)</f>
        <v>1</v>
      </c>
      <c r="O35" s="45" t="b">
        <f>IFERROR(__xludf.DUMMYFUNCTION("""COMPUTED_VALUE"""),TRUE)</f>
        <v>1</v>
      </c>
      <c r="P35" s="45" t="b">
        <f>IFERROR(__xludf.DUMMYFUNCTION("""COMPUTED_VALUE"""),TRUE)</f>
        <v>1</v>
      </c>
      <c r="Q35" s="45" t="b">
        <f>IFERROR(__xludf.DUMMYFUNCTION("""COMPUTED_VALUE"""),TRUE)</f>
        <v>1</v>
      </c>
      <c r="R35" s="45" t="b">
        <f>IFERROR(__xludf.DUMMYFUNCTION("""COMPUTED_VALUE"""),FALSE)</f>
        <v>0</v>
      </c>
      <c r="S35" s="45" t="b">
        <f>IFERROR(__xludf.DUMMYFUNCTION("""COMPUTED_VALUE"""),FALSE)</f>
        <v>0</v>
      </c>
      <c r="T35" s="45"/>
      <c r="U35" s="45" t="b">
        <f>IFERROR(__xludf.DUMMYFUNCTION("""COMPUTED_VALUE"""),TRUE)</f>
        <v>1</v>
      </c>
      <c r="V35" s="45" t="b">
        <f>IFERROR(__xludf.DUMMYFUNCTION("""COMPUTED_VALUE"""),TRUE)</f>
        <v>1</v>
      </c>
      <c r="W35" s="45" t="b">
        <f>IFERROR(__xludf.DUMMYFUNCTION("""COMPUTED_VALUE"""),TRUE)</f>
        <v>1</v>
      </c>
      <c r="X35" s="45" t="b">
        <f>IFERROR(__xludf.DUMMYFUNCTION("""COMPUTED_VALUE"""),TRUE)</f>
        <v>1</v>
      </c>
      <c r="Y35" s="45" t="b">
        <f>IFERROR(__xludf.DUMMYFUNCTION("""COMPUTED_VALUE"""),FALSE)</f>
        <v>0</v>
      </c>
      <c r="Z35" s="45" t="b">
        <f>IFERROR(__xludf.DUMMYFUNCTION("""COMPUTED_VALUE"""),FALSE)</f>
        <v>0</v>
      </c>
      <c r="AA35" s="45" t="b">
        <f>IFERROR(__xludf.DUMMYFUNCTION("""COMPUTED_VALUE"""),FALSE)</f>
        <v>0</v>
      </c>
      <c r="AB35" s="45" t="b">
        <f>IFERROR(__xludf.DUMMYFUNCTION("""COMPUTED_VALUE"""),FALSE)</f>
        <v>0</v>
      </c>
      <c r="AC35" s="45" t="b">
        <f>IFERROR(__xludf.DUMMYFUNCTION("""COMPUTED_VALUE"""),FALSE)</f>
        <v>0</v>
      </c>
      <c r="AD35" s="45" t="b">
        <f>IFERROR(__xludf.DUMMYFUNCTION("""COMPUTED_VALUE"""),TRUE)</f>
        <v>1</v>
      </c>
      <c r="AE35" s="45" t="b">
        <f>IFERROR(__xludf.DUMMYFUNCTION("""COMPUTED_VALUE"""),TRUE)</f>
        <v>1</v>
      </c>
      <c r="AF35" s="45" t="b">
        <f>IFERROR(__xludf.DUMMYFUNCTION("""COMPUTED_VALUE"""),TRUE)</f>
        <v>1</v>
      </c>
    </row>
    <row r="36">
      <c r="A36" s="45" t="b">
        <v>0</v>
      </c>
      <c r="B36" s="45" t="str">
        <f>IFERROR(__xludf.DUMMYFUNCTION("""COMPUTED_VALUE"""),"Banded dragonfly")</f>
        <v>Banded dragonfly</v>
      </c>
      <c r="C36" s="45">
        <f>IFERROR(__xludf.DUMMYFUNCTION("""COMPUTED_VALUE"""),4500.0)</f>
        <v>4500</v>
      </c>
      <c r="D36" s="45" t="str">
        <f>IFERROR(__xludf.DUMMYFUNCTION("""COMPUTED_VALUE"""),"8 a.m. - 5 p.m.")</f>
        <v>8 a.m. - 5 p.m.</v>
      </c>
      <c r="E36" s="45" t="str">
        <f>IFERROR(__xludf.DUMMYFUNCTION("""COMPUTED_VALUE"""),"Flying")</f>
        <v>Flying</v>
      </c>
      <c r="F36" s="45"/>
      <c r="G36" s="45"/>
      <c r="H36" s="45" t="b">
        <f>IFERROR(__xludf.DUMMYFUNCTION("""COMPUTED_VALUE"""),FALSE)</f>
        <v>0</v>
      </c>
      <c r="I36" s="45" t="b">
        <f>IFERROR(__xludf.DUMMYFUNCTION("""COMPUTED_VALUE"""),FALSE)</f>
        <v>0</v>
      </c>
      <c r="J36" s="45" t="b">
        <f>IFERROR(__xludf.DUMMYFUNCTION("""COMPUTED_VALUE"""),FALSE)</f>
        <v>0</v>
      </c>
      <c r="K36" s="45" t="b">
        <f>IFERROR(__xludf.DUMMYFUNCTION("""COMPUTED_VALUE"""),FALSE)</f>
        <v>0</v>
      </c>
      <c r="L36" s="45" t="b">
        <f>IFERROR(__xludf.DUMMYFUNCTION("""COMPUTED_VALUE"""),TRUE)</f>
        <v>1</v>
      </c>
      <c r="M36" s="45" t="b">
        <f>IFERROR(__xludf.DUMMYFUNCTION("""COMPUTED_VALUE"""),TRUE)</f>
        <v>1</v>
      </c>
      <c r="N36" s="45" t="b">
        <f>IFERROR(__xludf.DUMMYFUNCTION("""COMPUTED_VALUE"""),TRUE)</f>
        <v>1</v>
      </c>
      <c r="O36" s="45" t="b">
        <f>IFERROR(__xludf.DUMMYFUNCTION("""COMPUTED_VALUE"""),TRUE)</f>
        <v>1</v>
      </c>
      <c r="P36" s="45" t="b">
        <f>IFERROR(__xludf.DUMMYFUNCTION("""COMPUTED_VALUE"""),TRUE)</f>
        <v>1</v>
      </c>
      <c r="Q36" s="45" t="b">
        <f>IFERROR(__xludf.DUMMYFUNCTION("""COMPUTED_VALUE"""),TRUE)</f>
        <v>1</v>
      </c>
      <c r="R36" s="45" t="b">
        <f>IFERROR(__xludf.DUMMYFUNCTION("""COMPUTED_VALUE"""),FALSE)</f>
        <v>0</v>
      </c>
      <c r="S36" s="45" t="b">
        <f>IFERROR(__xludf.DUMMYFUNCTION("""COMPUTED_VALUE"""),FALSE)</f>
        <v>0</v>
      </c>
      <c r="T36" s="45"/>
      <c r="U36" s="45" t="b">
        <f>IFERROR(__xludf.DUMMYFUNCTION("""COMPUTED_VALUE"""),TRUE)</f>
        <v>1</v>
      </c>
      <c r="V36" s="45" t="b">
        <f>IFERROR(__xludf.DUMMYFUNCTION("""COMPUTED_VALUE"""),TRUE)</f>
        <v>1</v>
      </c>
      <c r="W36" s="45" t="b">
        <f>IFERROR(__xludf.DUMMYFUNCTION("""COMPUTED_VALUE"""),TRUE)</f>
        <v>1</v>
      </c>
      <c r="X36" s="45" t="b">
        <f>IFERROR(__xludf.DUMMYFUNCTION("""COMPUTED_VALUE"""),TRUE)</f>
        <v>1</v>
      </c>
      <c r="Y36" s="45" t="b">
        <f>IFERROR(__xludf.DUMMYFUNCTION("""COMPUTED_VALUE"""),FALSE)</f>
        <v>0</v>
      </c>
      <c r="Z36" s="45" t="b">
        <f>IFERROR(__xludf.DUMMYFUNCTION("""COMPUTED_VALUE"""),FALSE)</f>
        <v>0</v>
      </c>
      <c r="AA36" s="45" t="b">
        <f>IFERROR(__xludf.DUMMYFUNCTION("""COMPUTED_VALUE"""),FALSE)</f>
        <v>0</v>
      </c>
      <c r="AB36" s="45" t="b">
        <f>IFERROR(__xludf.DUMMYFUNCTION("""COMPUTED_VALUE"""),FALSE)</f>
        <v>0</v>
      </c>
      <c r="AC36" s="45" t="b">
        <f>IFERROR(__xludf.DUMMYFUNCTION("""COMPUTED_VALUE"""),FALSE)</f>
        <v>0</v>
      </c>
      <c r="AD36" s="45" t="b">
        <f>IFERROR(__xludf.DUMMYFUNCTION("""COMPUTED_VALUE"""),FALSE)</f>
        <v>0</v>
      </c>
      <c r="AE36" s="45" t="b">
        <f>IFERROR(__xludf.DUMMYFUNCTION("""COMPUTED_VALUE"""),TRUE)</f>
        <v>1</v>
      </c>
      <c r="AF36" s="45" t="b">
        <f>IFERROR(__xludf.DUMMYFUNCTION("""COMPUTED_VALUE"""),TRUE)</f>
        <v>1</v>
      </c>
    </row>
    <row r="37">
      <c r="A37" s="45" t="b">
        <v>0</v>
      </c>
      <c r="B37" s="45" t="str">
        <f>IFERROR(__xludf.DUMMYFUNCTION("""COMPUTED_VALUE"""),"Damselfly")</f>
        <v>Damselfly</v>
      </c>
      <c r="C37" s="45">
        <f>IFERROR(__xludf.DUMMYFUNCTION("""COMPUTED_VALUE"""),500.0)</f>
        <v>500</v>
      </c>
      <c r="D37" s="45" t="str">
        <f>IFERROR(__xludf.DUMMYFUNCTION("""COMPUTED_VALUE"""),"All day")</f>
        <v>All day</v>
      </c>
      <c r="E37" s="45" t="str">
        <f>IFERROR(__xludf.DUMMYFUNCTION("""COMPUTED_VALUE"""),"Flying")</f>
        <v>Flying</v>
      </c>
      <c r="F37" s="45"/>
      <c r="G37" s="45"/>
      <c r="H37" s="45" t="b">
        <f>IFERROR(__xludf.DUMMYFUNCTION("""COMPUTED_VALUE"""),TRUE)</f>
        <v>1</v>
      </c>
      <c r="I37" s="45" t="b">
        <f>IFERROR(__xludf.DUMMYFUNCTION("""COMPUTED_VALUE"""),TRUE)</f>
        <v>1</v>
      </c>
      <c r="J37" s="45" t="b">
        <f>IFERROR(__xludf.DUMMYFUNCTION("""COMPUTED_VALUE"""),FALSE)</f>
        <v>0</v>
      </c>
      <c r="K37" s="45" t="b">
        <f>IFERROR(__xludf.DUMMYFUNCTION("""COMPUTED_VALUE"""),FALSE)</f>
        <v>0</v>
      </c>
      <c r="L37" s="45" t="b">
        <f>IFERROR(__xludf.DUMMYFUNCTION("""COMPUTED_VALUE"""),FALSE)</f>
        <v>0</v>
      </c>
      <c r="M37" s="45" t="b">
        <f>IFERROR(__xludf.DUMMYFUNCTION("""COMPUTED_VALUE"""),FALSE)</f>
        <v>0</v>
      </c>
      <c r="N37" s="45" t="b">
        <f>IFERROR(__xludf.DUMMYFUNCTION("""COMPUTED_VALUE"""),FALSE)</f>
        <v>0</v>
      </c>
      <c r="O37" s="45" t="b">
        <f>IFERROR(__xludf.DUMMYFUNCTION("""COMPUTED_VALUE"""),FALSE)</f>
        <v>0</v>
      </c>
      <c r="P37" s="45" t="b">
        <f>IFERROR(__xludf.DUMMYFUNCTION("""COMPUTED_VALUE"""),FALSE)</f>
        <v>0</v>
      </c>
      <c r="Q37" s="45" t="b">
        <f>IFERROR(__xludf.DUMMYFUNCTION("""COMPUTED_VALUE"""),FALSE)</f>
        <v>0</v>
      </c>
      <c r="R37" s="45" t="b">
        <f>IFERROR(__xludf.DUMMYFUNCTION("""COMPUTED_VALUE"""),TRUE)</f>
        <v>1</v>
      </c>
      <c r="S37" s="45" t="b">
        <f>IFERROR(__xludf.DUMMYFUNCTION("""COMPUTED_VALUE"""),TRUE)</f>
        <v>1</v>
      </c>
      <c r="T37" s="45"/>
      <c r="U37" s="45" t="b">
        <f>IFERROR(__xludf.DUMMYFUNCTION("""COMPUTED_VALUE"""),FALSE)</f>
        <v>0</v>
      </c>
      <c r="V37" s="45" t="b">
        <f>IFERROR(__xludf.DUMMYFUNCTION("""COMPUTED_VALUE"""),FALSE)</f>
        <v>0</v>
      </c>
      <c r="W37" s="45" t="b">
        <f>IFERROR(__xludf.DUMMYFUNCTION("""COMPUTED_VALUE"""),FALSE)</f>
        <v>0</v>
      </c>
      <c r="X37" s="45" t="b">
        <f>IFERROR(__xludf.DUMMYFUNCTION("""COMPUTED_VALUE"""),FALSE)</f>
        <v>0</v>
      </c>
      <c r="Y37" s="45" t="b">
        <f>IFERROR(__xludf.DUMMYFUNCTION("""COMPUTED_VALUE"""),TRUE)</f>
        <v>1</v>
      </c>
      <c r="Z37" s="45" t="b">
        <f>IFERROR(__xludf.DUMMYFUNCTION("""COMPUTED_VALUE"""),TRUE)</f>
        <v>1</v>
      </c>
      <c r="AA37" s="45" t="b">
        <f>IFERROR(__xludf.DUMMYFUNCTION("""COMPUTED_VALUE"""),TRUE)</f>
        <v>1</v>
      </c>
      <c r="AB37" s="45" t="b">
        <f>IFERROR(__xludf.DUMMYFUNCTION("""COMPUTED_VALUE"""),TRUE)</f>
        <v>1</v>
      </c>
      <c r="AC37" s="45" t="b">
        <f>IFERROR(__xludf.DUMMYFUNCTION("""COMPUTED_VALUE"""),FALSE)</f>
        <v>0</v>
      </c>
      <c r="AD37" s="45" t="b">
        <f>IFERROR(__xludf.DUMMYFUNCTION("""COMPUTED_VALUE"""),FALSE)</f>
        <v>0</v>
      </c>
      <c r="AE37" s="45" t="b">
        <f>IFERROR(__xludf.DUMMYFUNCTION("""COMPUTED_VALUE"""),FALSE)</f>
        <v>0</v>
      </c>
      <c r="AF37" s="45" t="b">
        <f>IFERROR(__xludf.DUMMYFUNCTION("""COMPUTED_VALUE"""),FALSE)</f>
        <v>0</v>
      </c>
    </row>
    <row r="38">
      <c r="A38" s="45" t="b">
        <v>0</v>
      </c>
      <c r="B38" s="45" t="str">
        <f>IFERROR(__xludf.DUMMYFUNCTION("""COMPUTED_VALUE"""),"Firefly")</f>
        <v>Firefly</v>
      </c>
      <c r="C38" s="45">
        <f>IFERROR(__xludf.DUMMYFUNCTION("""COMPUTED_VALUE"""),300.0)</f>
        <v>300</v>
      </c>
      <c r="D38" s="45" t="str">
        <f>IFERROR(__xludf.DUMMYFUNCTION("""COMPUTED_VALUE"""),"7 p.m. - 4 a.m.")</f>
        <v>7 p.m. - 4 a.m.</v>
      </c>
      <c r="E38" s="45" t="str">
        <f>IFERROR(__xludf.DUMMYFUNCTION("""COMPUTED_VALUE"""),"Flying")</f>
        <v>Flying</v>
      </c>
      <c r="F38" s="45"/>
      <c r="G38" s="45"/>
      <c r="H38" s="45" t="b">
        <f>IFERROR(__xludf.DUMMYFUNCTION("""COMPUTED_VALUE"""),FALSE)</f>
        <v>0</v>
      </c>
      <c r="I38" s="45" t="b">
        <f>IFERROR(__xludf.DUMMYFUNCTION("""COMPUTED_VALUE"""),FALSE)</f>
        <v>0</v>
      </c>
      <c r="J38" s="45" t="b">
        <f>IFERROR(__xludf.DUMMYFUNCTION("""COMPUTED_VALUE"""),FALSE)</f>
        <v>0</v>
      </c>
      <c r="K38" s="45" t="b">
        <f>IFERROR(__xludf.DUMMYFUNCTION("""COMPUTED_VALUE"""),FALSE)</f>
        <v>0</v>
      </c>
      <c r="L38" s="45" t="b">
        <f>IFERROR(__xludf.DUMMYFUNCTION("""COMPUTED_VALUE"""),FALSE)</f>
        <v>0</v>
      </c>
      <c r="M38" s="45" t="b">
        <f>IFERROR(__xludf.DUMMYFUNCTION("""COMPUTED_VALUE"""),TRUE)</f>
        <v>1</v>
      </c>
      <c r="N38" s="45" t="b">
        <f>IFERROR(__xludf.DUMMYFUNCTION("""COMPUTED_VALUE"""),FALSE)</f>
        <v>0</v>
      </c>
      <c r="O38" s="45" t="b">
        <f>IFERROR(__xludf.DUMMYFUNCTION("""COMPUTED_VALUE"""),FALSE)</f>
        <v>0</v>
      </c>
      <c r="P38" s="45" t="b">
        <f>IFERROR(__xludf.DUMMYFUNCTION("""COMPUTED_VALUE"""),FALSE)</f>
        <v>0</v>
      </c>
      <c r="Q38" s="45" t="b">
        <f>IFERROR(__xludf.DUMMYFUNCTION("""COMPUTED_VALUE"""),FALSE)</f>
        <v>0</v>
      </c>
      <c r="R38" s="45" t="b">
        <f>IFERROR(__xludf.DUMMYFUNCTION("""COMPUTED_VALUE"""),FALSE)</f>
        <v>0</v>
      </c>
      <c r="S38" s="45" t="b">
        <f>IFERROR(__xludf.DUMMYFUNCTION("""COMPUTED_VALUE"""),FALSE)</f>
        <v>0</v>
      </c>
      <c r="T38" s="45"/>
      <c r="U38" s="45" t="b">
        <f>IFERROR(__xludf.DUMMYFUNCTION("""COMPUTED_VALUE"""),FALSE)</f>
        <v>0</v>
      </c>
      <c r="V38" s="45" t="b">
        <f>IFERROR(__xludf.DUMMYFUNCTION("""COMPUTED_VALUE"""),FALSE)</f>
        <v>0</v>
      </c>
      <c r="W38" s="45" t="b">
        <f>IFERROR(__xludf.DUMMYFUNCTION("""COMPUTED_VALUE"""),FALSE)</f>
        <v>0</v>
      </c>
      <c r="X38" s="45" t="b">
        <f>IFERROR(__xludf.DUMMYFUNCTION("""COMPUTED_VALUE"""),FALSE)</f>
        <v>0</v>
      </c>
      <c r="Y38" s="45" t="b">
        <f>IFERROR(__xludf.DUMMYFUNCTION("""COMPUTED_VALUE"""),FALSE)</f>
        <v>0</v>
      </c>
      <c r="Z38" s="45" t="b">
        <f>IFERROR(__xludf.DUMMYFUNCTION("""COMPUTED_VALUE"""),FALSE)</f>
        <v>0</v>
      </c>
      <c r="AA38" s="45" t="b">
        <f>IFERROR(__xludf.DUMMYFUNCTION("""COMPUTED_VALUE"""),FALSE)</f>
        <v>0</v>
      </c>
      <c r="AB38" s="45" t="b">
        <f>IFERROR(__xludf.DUMMYFUNCTION("""COMPUTED_VALUE"""),FALSE)</f>
        <v>0</v>
      </c>
      <c r="AC38" s="45" t="b">
        <f>IFERROR(__xludf.DUMMYFUNCTION("""COMPUTED_VALUE"""),FALSE)</f>
        <v>0</v>
      </c>
      <c r="AD38" s="45" t="b">
        <f>IFERROR(__xludf.DUMMYFUNCTION("""COMPUTED_VALUE"""),FALSE)</f>
        <v>0</v>
      </c>
      <c r="AE38" s="45" t="b">
        <f>IFERROR(__xludf.DUMMYFUNCTION("""COMPUTED_VALUE"""),FALSE)</f>
        <v>0</v>
      </c>
      <c r="AF38" s="45" t="b">
        <f>IFERROR(__xludf.DUMMYFUNCTION("""COMPUTED_VALUE"""),TRUE)</f>
        <v>1</v>
      </c>
    </row>
    <row r="39">
      <c r="A39" s="45" t="b">
        <v>0</v>
      </c>
      <c r="B39" s="45" t="str">
        <f>IFERROR(__xludf.DUMMYFUNCTION("""COMPUTED_VALUE"""),"Mole cricket")</f>
        <v>Mole cricket</v>
      </c>
      <c r="C39" s="45">
        <f>IFERROR(__xludf.DUMMYFUNCTION("""COMPUTED_VALUE"""),500.0)</f>
        <v>500</v>
      </c>
      <c r="D39" s="45" t="str">
        <f>IFERROR(__xludf.DUMMYFUNCTION("""COMPUTED_VALUE"""),"All day")</f>
        <v>All day</v>
      </c>
      <c r="E39" s="45" t="str">
        <f>IFERROR(__xludf.DUMMYFUNCTION("""COMPUTED_VALUE"""),"Underground")</f>
        <v>Underground</v>
      </c>
      <c r="F39" s="45"/>
      <c r="G39" s="45"/>
      <c r="H39" s="45" t="b">
        <f>IFERROR(__xludf.DUMMYFUNCTION("""COMPUTED_VALUE"""),TRUE)</f>
        <v>1</v>
      </c>
      <c r="I39" s="45" t="b">
        <f>IFERROR(__xludf.DUMMYFUNCTION("""COMPUTED_VALUE"""),TRUE)</f>
        <v>1</v>
      </c>
      <c r="J39" s="45" t="b">
        <f>IFERROR(__xludf.DUMMYFUNCTION("""COMPUTED_VALUE"""),TRUE)</f>
        <v>1</v>
      </c>
      <c r="K39" s="45" t="b">
        <f>IFERROR(__xludf.DUMMYFUNCTION("""COMPUTED_VALUE"""),TRUE)</f>
        <v>1</v>
      </c>
      <c r="L39" s="45" t="b">
        <f>IFERROR(__xludf.DUMMYFUNCTION("""COMPUTED_VALUE"""),TRUE)</f>
        <v>1</v>
      </c>
      <c r="M39" s="45" t="b">
        <f>IFERROR(__xludf.DUMMYFUNCTION("""COMPUTED_VALUE"""),FALSE)</f>
        <v>0</v>
      </c>
      <c r="N39" s="45" t="b">
        <f>IFERROR(__xludf.DUMMYFUNCTION("""COMPUTED_VALUE"""),FALSE)</f>
        <v>0</v>
      </c>
      <c r="O39" s="45" t="b">
        <f>IFERROR(__xludf.DUMMYFUNCTION("""COMPUTED_VALUE"""),FALSE)</f>
        <v>0</v>
      </c>
      <c r="P39" s="45" t="b">
        <f>IFERROR(__xludf.DUMMYFUNCTION("""COMPUTED_VALUE"""),FALSE)</f>
        <v>0</v>
      </c>
      <c r="Q39" s="45" t="b">
        <f>IFERROR(__xludf.DUMMYFUNCTION("""COMPUTED_VALUE"""),FALSE)</f>
        <v>0</v>
      </c>
      <c r="R39" s="45" t="b">
        <f>IFERROR(__xludf.DUMMYFUNCTION("""COMPUTED_VALUE"""),TRUE)</f>
        <v>1</v>
      </c>
      <c r="S39" s="45" t="b">
        <f>IFERROR(__xludf.DUMMYFUNCTION("""COMPUTED_VALUE"""),TRUE)</f>
        <v>1</v>
      </c>
      <c r="T39" s="45"/>
      <c r="U39" s="45" t="b">
        <f>IFERROR(__xludf.DUMMYFUNCTION("""COMPUTED_VALUE"""),FALSE)</f>
        <v>0</v>
      </c>
      <c r="V39" s="45" t="b">
        <f>IFERROR(__xludf.DUMMYFUNCTION("""COMPUTED_VALUE"""),FALSE)</f>
        <v>0</v>
      </c>
      <c r="W39" s="45" t="b">
        <f>IFERROR(__xludf.DUMMYFUNCTION("""COMPUTED_VALUE"""),FALSE)</f>
        <v>0</v>
      </c>
      <c r="X39" s="45" t="b">
        <f>IFERROR(__xludf.DUMMYFUNCTION("""COMPUTED_VALUE"""),FALSE)</f>
        <v>0</v>
      </c>
      <c r="Y39" s="45" t="b">
        <f>IFERROR(__xludf.DUMMYFUNCTION("""COMPUTED_VALUE"""),TRUE)</f>
        <v>1</v>
      </c>
      <c r="Z39" s="45" t="b">
        <f>IFERROR(__xludf.DUMMYFUNCTION("""COMPUTED_VALUE"""),TRUE)</f>
        <v>1</v>
      </c>
      <c r="AA39" s="45" t="b">
        <f>IFERROR(__xludf.DUMMYFUNCTION("""COMPUTED_VALUE"""),TRUE)</f>
        <v>1</v>
      </c>
      <c r="AB39" s="45" t="b">
        <f>IFERROR(__xludf.DUMMYFUNCTION("""COMPUTED_VALUE"""),TRUE)</f>
        <v>1</v>
      </c>
      <c r="AC39" s="45" t="b">
        <f>IFERROR(__xludf.DUMMYFUNCTION("""COMPUTED_VALUE"""),TRUE)</f>
        <v>1</v>
      </c>
      <c r="AD39" s="45" t="b">
        <f>IFERROR(__xludf.DUMMYFUNCTION("""COMPUTED_VALUE"""),TRUE)</f>
        <v>1</v>
      </c>
      <c r="AE39" s="45" t="b">
        <f>IFERROR(__xludf.DUMMYFUNCTION("""COMPUTED_VALUE"""),TRUE)</f>
        <v>1</v>
      </c>
      <c r="AF39" s="45" t="b">
        <f>IFERROR(__xludf.DUMMYFUNCTION("""COMPUTED_VALUE"""),FALSE)</f>
        <v>0</v>
      </c>
    </row>
    <row r="40">
      <c r="A40" s="45" t="b">
        <v>0</v>
      </c>
      <c r="B40" s="45" t="str">
        <f>IFERROR(__xludf.DUMMYFUNCTION("""COMPUTED_VALUE"""),"Pondskater")</f>
        <v>Pondskater</v>
      </c>
      <c r="C40" s="45">
        <f>IFERROR(__xludf.DUMMYFUNCTION("""COMPUTED_VALUE"""),130.0)</f>
        <v>130</v>
      </c>
      <c r="D40" s="45" t="str">
        <f>IFERROR(__xludf.DUMMYFUNCTION("""COMPUTED_VALUE"""),"8 a.m. - 7 p.m.")</f>
        <v>8 a.m. - 7 p.m.</v>
      </c>
      <c r="E40" s="45" t="str">
        <f>IFERROR(__xludf.DUMMYFUNCTION("""COMPUTED_VALUE"""),"Ponds")</f>
        <v>Ponds</v>
      </c>
      <c r="F40" s="45"/>
      <c r="G40" s="45"/>
      <c r="H40" s="45" t="b">
        <f>IFERROR(__xludf.DUMMYFUNCTION("""COMPUTED_VALUE"""),FALSE)</f>
        <v>0</v>
      </c>
      <c r="I40" s="45" t="b">
        <f>IFERROR(__xludf.DUMMYFUNCTION("""COMPUTED_VALUE"""),FALSE)</f>
        <v>0</v>
      </c>
      <c r="J40" s="45" t="b">
        <f>IFERROR(__xludf.DUMMYFUNCTION("""COMPUTED_VALUE"""),FALSE)</f>
        <v>0</v>
      </c>
      <c r="K40" s="45" t="b">
        <f>IFERROR(__xludf.DUMMYFUNCTION("""COMPUTED_VALUE"""),FALSE)</f>
        <v>0</v>
      </c>
      <c r="L40" s="45" t="b">
        <f>IFERROR(__xludf.DUMMYFUNCTION("""COMPUTED_VALUE"""),TRUE)</f>
        <v>1</v>
      </c>
      <c r="M40" s="45" t="b">
        <f>IFERROR(__xludf.DUMMYFUNCTION("""COMPUTED_VALUE"""),TRUE)</f>
        <v>1</v>
      </c>
      <c r="N40" s="45" t="b">
        <f>IFERROR(__xludf.DUMMYFUNCTION("""COMPUTED_VALUE"""),TRUE)</f>
        <v>1</v>
      </c>
      <c r="O40" s="45" t="b">
        <f>IFERROR(__xludf.DUMMYFUNCTION("""COMPUTED_VALUE"""),TRUE)</f>
        <v>1</v>
      </c>
      <c r="P40" s="45" t="b">
        <f>IFERROR(__xludf.DUMMYFUNCTION("""COMPUTED_VALUE"""),TRUE)</f>
        <v>1</v>
      </c>
      <c r="Q40" s="45" t="b">
        <f>IFERROR(__xludf.DUMMYFUNCTION("""COMPUTED_VALUE"""),FALSE)</f>
        <v>0</v>
      </c>
      <c r="R40" s="45" t="b">
        <f>IFERROR(__xludf.DUMMYFUNCTION("""COMPUTED_VALUE"""),FALSE)</f>
        <v>0</v>
      </c>
      <c r="S40" s="45" t="b">
        <f>IFERROR(__xludf.DUMMYFUNCTION("""COMPUTED_VALUE"""),FALSE)</f>
        <v>0</v>
      </c>
      <c r="T40" s="45"/>
      <c r="U40" s="45" t="b">
        <f>IFERROR(__xludf.DUMMYFUNCTION("""COMPUTED_VALUE"""),TRUE)</f>
        <v>1</v>
      </c>
      <c r="V40" s="45" t="b">
        <f>IFERROR(__xludf.DUMMYFUNCTION("""COMPUTED_VALUE"""),TRUE)</f>
        <v>1</v>
      </c>
      <c r="W40" s="45" t="b">
        <f>IFERROR(__xludf.DUMMYFUNCTION("""COMPUTED_VALUE"""),TRUE)</f>
        <v>1</v>
      </c>
      <c r="X40" s="45" t="b">
        <f>IFERROR(__xludf.DUMMYFUNCTION("""COMPUTED_VALUE"""),FALSE)</f>
        <v>0</v>
      </c>
      <c r="Y40" s="45" t="b">
        <f>IFERROR(__xludf.DUMMYFUNCTION("""COMPUTED_VALUE"""),FALSE)</f>
        <v>0</v>
      </c>
      <c r="Z40" s="45" t="b">
        <f>IFERROR(__xludf.DUMMYFUNCTION("""COMPUTED_VALUE"""),FALSE)</f>
        <v>0</v>
      </c>
      <c r="AA40" s="45" t="b">
        <f>IFERROR(__xludf.DUMMYFUNCTION("""COMPUTED_VALUE"""),FALSE)</f>
        <v>0</v>
      </c>
      <c r="AB40" s="45" t="b">
        <f>IFERROR(__xludf.DUMMYFUNCTION("""COMPUTED_VALUE"""),FALSE)</f>
        <v>0</v>
      </c>
      <c r="AC40" s="45" t="b">
        <f>IFERROR(__xludf.DUMMYFUNCTION("""COMPUTED_VALUE"""),FALSE)</f>
        <v>0</v>
      </c>
      <c r="AD40" s="45" t="b">
        <f>IFERROR(__xludf.DUMMYFUNCTION("""COMPUTED_VALUE"""),FALSE)</f>
        <v>0</v>
      </c>
      <c r="AE40" s="45" t="b">
        <f>IFERROR(__xludf.DUMMYFUNCTION("""COMPUTED_VALUE"""),TRUE)</f>
        <v>1</v>
      </c>
      <c r="AF40" s="45" t="b">
        <f>IFERROR(__xludf.DUMMYFUNCTION("""COMPUTED_VALUE"""),TRUE)</f>
        <v>1</v>
      </c>
    </row>
    <row r="41">
      <c r="A41" s="45" t="b">
        <v>0</v>
      </c>
      <c r="B41" s="45" t="str">
        <f>IFERROR(__xludf.DUMMYFUNCTION("""COMPUTED_VALUE"""),"Diving beetle")</f>
        <v>Diving beetle</v>
      </c>
      <c r="C41" s="45">
        <f>IFERROR(__xludf.DUMMYFUNCTION("""COMPUTED_VALUE"""),800.0)</f>
        <v>800</v>
      </c>
      <c r="D41" s="45" t="str">
        <f>IFERROR(__xludf.DUMMYFUNCTION("""COMPUTED_VALUE"""),"8 a.m. - 7 p.m.")</f>
        <v>8 a.m. - 7 p.m.</v>
      </c>
      <c r="E41" s="45" t="str">
        <f>IFERROR(__xludf.DUMMYFUNCTION("""COMPUTED_VALUE"""),"Ponds and rivers")</f>
        <v>Ponds and rivers</v>
      </c>
      <c r="F41" s="45"/>
      <c r="G41" s="45"/>
      <c r="H41" s="45" t="b">
        <f>IFERROR(__xludf.DUMMYFUNCTION("""COMPUTED_VALUE"""),FALSE)</f>
        <v>0</v>
      </c>
      <c r="I41" s="45" t="b">
        <f>IFERROR(__xludf.DUMMYFUNCTION("""COMPUTED_VALUE"""),FALSE)</f>
        <v>0</v>
      </c>
      <c r="J41" s="45" t="b">
        <f>IFERROR(__xludf.DUMMYFUNCTION("""COMPUTED_VALUE"""),FALSE)</f>
        <v>0</v>
      </c>
      <c r="K41" s="45" t="b">
        <f>IFERROR(__xludf.DUMMYFUNCTION("""COMPUTED_VALUE"""),FALSE)</f>
        <v>0</v>
      </c>
      <c r="L41" s="45" t="b">
        <f>IFERROR(__xludf.DUMMYFUNCTION("""COMPUTED_VALUE"""),TRUE)</f>
        <v>1</v>
      </c>
      <c r="M41" s="45" t="b">
        <f>IFERROR(__xludf.DUMMYFUNCTION("""COMPUTED_VALUE"""),TRUE)</f>
        <v>1</v>
      </c>
      <c r="N41" s="45" t="b">
        <f>IFERROR(__xludf.DUMMYFUNCTION("""COMPUTED_VALUE"""),TRUE)</f>
        <v>1</v>
      </c>
      <c r="O41" s="45" t="b">
        <f>IFERROR(__xludf.DUMMYFUNCTION("""COMPUTED_VALUE"""),TRUE)</f>
        <v>1</v>
      </c>
      <c r="P41" s="45" t="b">
        <f>IFERROR(__xludf.DUMMYFUNCTION("""COMPUTED_VALUE"""),TRUE)</f>
        <v>1</v>
      </c>
      <c r="Q41" s="45" t="b">
        <f>IFERROR(__xludf.DUMMYFUNCTION("""COMPUTED_VALUE"""),FALSE)</f>
        <v>0</v>
      </c>
      <c r="R41" s="45" t="b">
        <f>IFERROR(__xludf.DUMMYFUNCTION("""COMPUTED_VALUE"""),FALSE)</f>
        <v>0</v>
      </c>
      <c r="S41" s="45" t="b">
        <f>IFERROR(__xludf.DUMMYFUNCTION("""COMPUTED_VALUE"""),FALSE)</f>
        <v>0</v>
      </c>
      <c r="T41" s="45"/>
      <c r="U41" s="45" t="b">
        <f>IFERROR(__xludf.DUMMYFUNCTION("""COMPUTED_VALUE"""),TRUE)</f>
        <v>1</v>
      </c>
      <c r="V41" s="45" t="b">
        <f>IFERROR(__xludf.DUMMYFUNCTION("""COMPUTED_VALUE"""),TRUE)</f>
        <v>1</v>
      </c>
      <c r="W41" s="45" t="b">
        <f>IFERROR(__xludf.DUMMYFUNCTION("""COMPUTED_VALUE"""),TRUE)</f>
        <v>1</v>
      </c>
      <c r="X41" s="45" t="b">
        <f>IFERROR(__xludf.DUMMYFUNCTION("""COMPUTED_VALUE"""),FALSE)</f>
        <v>0</v>
      </c>
      <c r="Y41" s="45" t="b">
        <f>IFERROR(__xludf.DUMMYFUNCTION("""COMPUTED_VALUE"""),FALSE)</f>
        <v>0</v>
      </c>
      <c r="Z41" s="45" t="b">
        <f>IFERROR(__xludf.DUMMYFUNCTION("""COMPUTED_VALUE"""),FALSE)</f>
        <v>0</v>
      </c>
      <c r="AA41" s="45" t="b">
        <f>IFERROR(__xludf.DUMMYFUNCTION("""COMPUTED_VALUE"""),FALSE)</f>
        <v>0</v>
      </c>
      <c r="AB41" s="45" t="b">
        <f>IFERROR(__xludf.DUMMYFUNCTION("""COMPUTED_VALUE"""),FALSE)</f>
        <v>0</v>
      </c>
      <c r="AC41" s="45" t="b">
        <f>IFERROR(__xludf.DUMMYFUNCTION("""COMPUTED_VALUE"""),FALSE)</f>
        <v>0</v>
      </c>
      <c r="AD41" s="45" t="b">
        <f>IFERROR(__xludf.DUMMYFUNCTION("""COMPUTED_VALUE"""),FALSE)</f>
        <v>0</v>
      </c>
      <c r="AE41" s="45" t="b">
        <f>IFERROR(__xludf.DUMMYFUNCTION("""COMPUTED_VALUE"""),TRUE)</f>
        <v>1</v>
      </c>
      <c r="AF41" s="45" t="b">
        <f>IFERROR(__xludf.DUMMYFUNCTION("""COMPUTED_VALUE"""),TRUE)</f>
        <v>1</v>
      </c>
    </row>
    <row r="42">
      <c r="A42" s="45" t="b">
        <v>0</v>
      </c>
      <c r="B42" s="45" t="str">
        <f>IFERROR(__xludf.DUMMYFUNCTION("""COMPUTED_VALUE"""),"Giant water bug")</f>
        <v>Giant water bug</v>
      </c>
      <c r="C42" s="45">
        <f>IFERROR(__xludf.DUMMYFUNCTION("""COMPUTED_VALUE"""),2000.0)</f>
        <v>2000</v>
      </c>
      <c r="D42" s="45" t="str">
        <f>IFERROR(__xludf.DUMMYFUNCTION("""COMPUTED_VALUE"""),"7 p.m. - 8 a.m.")</f>
        <v>7 p.m. - 8 a.m.</v>
      </c>
      <c r="E42" s="45" t="str">
        <f>IFERROR(__xludf.DUMMYFUNCTION("""COMPUTED_VALUE"""),"Ponds and rivers")</f>
        <v>Ponds and rivers</v>
      </c>
      <c r="F42" s="45"/>
      <c r="G42" s="45"/>
      <c r="H42" s="45" t="b">
        <f>IFERROR(__xludf.DUMMYFUNCTION("""COMPUTED_VALUE"""),FALSE)</f>
        <v>0</v>
      </c>
      <c r="I42" s="45" t="b">
        <f>IFERROR(__xludf.DUMMYFUNCTION("""COMPUTED_VALUE"""),FALSE)</f>
        <v>0</v>
      </c>
      <c r="J42" s="45" t="b">
        <f>IFERROR(__xludf.DUMMYFUNCTION("""COMPUTED_VALUE"""),FALSE)</f>
        <v>0</v>
      </c>
      <c r="K42" s="45" t="b">
        <f>IFERROR(__xludf.DUMMYFUNCTION("""COMPUTED_VALUE"""),TRUE)</f>
        <v>1</v>
      </c>
      <c r="L42" s="45" t="b">
        <f>IFERROR(__xludf.DUMMYFUNCTION("""COMPUTED_VALUE"""),TRUE)</f>
        <v>1</v>
      </c>
      <c r="M42" s="45" t="b">
        <f>IFERROR(__xludf.DUMMYFUNCTION("""COMPUTED_VALUE"""),TRUE)</f>
        <v>1</v>
      </c>
      <c r="N42" s="45" t="b">
        <f>IFERROR(__xludf.DUMMYFUNCTION("""COMPUTED_VALUE"""),TRUE)</f>
        <v>1</v>
      </c>
      <c r="O42" s="45" t="b">
        <f>IFERROR(__xludf.DUMMYFUNCTION("""COMPUTED_VALUE"""),TRUE)</f>
        <v>1</v>
      </c>
      <c r="P42" s="45" t="b">
        <f>IFERROR(__xludf.DUMMYFUNCTION("""COMPUTED_VALUE"""),TRUE)</f>
        <v>1</v>
      </c>
      <c r="Q42" s="45" t="b">
        <f>IFERROR(__xludf.DUMMYFUNCTION("""COMPUTED_VALUE"""),FALSE)</f>
        <v>0</v>
      </c>
      <c r="R42" s="45" t="b">
        <f>IFERROR(__xludf.DUMMYFUNCTION("""COMPUTED_VALUE"""),FALSE)</f>
        <v>0</v>
      </c>
      <c r="S42" s="45" t="b">
        <f>IFERROR(__xludf.DUMMYFUNCTION("""COMPUTED_VALUE"""),FALSE)</f>
        <v>0</v>
      </c>
      <c r="T42" s="45"/>
      <c r="U42" s="45" t="b">
        <f>IFERROR(__xludf.DUMMYFUNCTION("""COMPUTED_VALUE"""),TRUE)</f>
        <v>1</v>
      </c>
      <c r="V42" s="45" t="b">
        <f>IFERROR(__xludf.DUMMYFUNCTION("""COMPUTED_VALUE"""),TRUE)</f>
        <v>1</v>
      </c>
      <c r="W42" s="45" t="b">
        <f>IFERROR(__xludf.DUMMYFUNCTION("""COMPUTED_VALUE"""),TRUE)</f>
        <v>1</v>
      </c>
      <c r="X42" s="45" t="b">
        <f>IFERROR(__xludf.DUMMYFUNCTION("""COMPUTED_VALUE"""),FALSE)</f>
        <v>0</v>
      </c>
      <c r="Y42" s="45" t="b">
        <f>IFERROR(__xludf.DUMMYFUNCTION("""COMPUTED_VALUE"""),FALSE)</f>
        <v>0</v>
      </c>
      <c r="Z42" s="45" t="b">
        <f>IFERROR(__xludf.DUMMYFUNCTION("""COMPUTED_VALUE"""),FALSE)</f>
        <v>0</v>
      </c>
      <c r="AA42" s="45" t="b">
        <f>IFERROR(__xludf.DUMMYFUNCTION("""COMPUTED_VALUE"""),FALSE)</f>
        <v>0</v>
      </c>
      <c r="AB42" s="45" t="b">
        <f>IFERROR(__xludf.DUMMYFUNCTION("""COMPUTED_VALUE"""),FALSE)</f>
        <v>0</v>
      </c>
      <c r="AC42" s="45" t="b">
        <f>IFERROR(__xludf.DUMMYFUNCTION("""COMPUTED_VALUE"""),FALSE)</f>
        <v>0</v>
      </c>
      <c r="AD42" s="45" t="b">
        <f>IFERROR(__xludf.DUMMYFUNCTION("""COMPUTED_VALUE"""),TRUE)</f>
        <v>1</v>
      </c>
      <c r="AE42" s="45" t="b">
        <f>IFERROR(__xludf.DUMMYFUNCTION("""COMPUTED_VALUE"""),TRUE)</f>
        <v>1</v>
      </c>
      <c r="AF42" s="45" t="b">
        <f>IFERROR(__xludf.DUMMYFUNCTION("""COMPUTED_VALUE"""),TRUE)</f>
        <v>1</v>
      </c>
    </row>
    <row r="43">
      <c r="A43" s="45" t="b">
        <v>0</v>
      </c>
      <c r="B43" s="45" t="str">
        <f>IFERROR(__xludf.DUMMYFUNCTION("""COMPUTED_VALUE"""),"Stinkbug")</f>
        <v>Stinkbug</v>
      </c>
      <c r="C43" s="45">
        <f>IFERROR(__xludf.DUMMYFUNCTION("""COMPUTED_VALUE"""),120.0)</f>
        <v>120</v>
      </c>
      <c r="D43" s="45" t="str">
        <f>IFERROR(__xludf.DUMMYFUNCTION("""COMPUTED_VALUE"""),"All day")</f>
        <v>All day</v>
      </c>
      <c r="E43" s="45" t="str">
        <f>IFERROR(__xludf.DUMMYFUNCTION("""COMPUTED_VALUE"""),"On flowers")</f>
        <v>On flowers</v>
      </c>
      <c r="F43" s="45"/>
      <c r="G43" s="45"/>
      <c r="H43" s="45" t="b">
        <f>IFERROR(__xludf.DUMMYFUNCTION("""COMPUTED_VALUE"""),FALSE)</f>
        <v>0</v>
      </c>
      <c r="I43" s="45" t="b">
        <f>IFERROR(__xludf.DUMMYFUNCTION("""COMPUTED_VALUE"""),FALSE)</f>
        <v>0</v>
      </c>
      <c r="J43" s="45" t="b">
        <f>IFERROR(__xludf.DUMMYFUNCTION("""COMPUTED_VALUE"""),TRUE)</f>
        <v>1</v>
      </c>
      <c r="K43" s="45" t="b">
        <f>IFERROR(__xludf.DUMMYFUNCTION("""COMPUTED_VALUE"""),TRUE)</f>
        <v>1</v>
      </c>
      <c r="L43" s="45" t="b">
        <f>IFERROR(__xludf.DUMMYFUNCTION("""COMPUTED_VALUE"""),TRUE)</f>
        <v>1</v>
      </c>
      <c r="M43" s="45" t="b">
        <f>IFERROR(__xludf.DUMMYFUNCTION("""COMPUTED_VALUE"""),TRUE)</f>
        <v>1</v>
      </c>
      <c r="N43" s="45" t="b">
        <f>IFERROR(__xludf.DUMMYFUNCTION("""COMPUTED_VALUE"""),TRUE)</f>
        <v>1</v>
      </c>
      <c r="O43" s="45" t="b">
        <f>IFERROR(__xludf.DUMMYFUNCTION("""COMPUTED_VALUE"""),TRUE)</f>
        <v>1</v>
      </c>
      <c r="P43" s="45" t="b">
        <f>IFERROR(__xludf.DUMMYFUNCTION("""COMPUTED_VALUE"""),TRUE)</f>
        <v>1</v>
      </c>
      <c r="Q43" s="45" t="b">
        <f>IFERROR(__xludf.DUMMYFUNCTION("""COMPUTED_VALUE"""),TRUE)</f>
        <v>1</v>
      </c>
      <c r="R43" s="45" t="b">
        <f>IFERROR(__xludf.DUMMYFUNCTION("""COMPUTED_VALUE"""),FALSE)</f>
        <v>0</v>
      </c>
      <c r="S43" s="45" t="b">
        <f>IFERROR(__xludf.DUMMYFUNCTION("""COMPUTED_VALUE"""),FALSE)</f>
        <v>0</v>
      </c>
      <c r="T43" s="45"/>
      <c r="U43" s="45" t="b">
        <f>IFERROR(__xludf.DUMMYFUNCTION("""COMPUTED_VALUE"""),TRUE)</f>
        <v>1</v>
      </c>
      <c r="V43" s="45" t="b">
        <f>IFERROR(__xludf.DUMMYFUNCTION("""COMPUTED_VALUE"""),TRUE)</f>
        <v>1</v>
      </c>
      <c r="W43" s="45" t="b">
        <f>IFERROR(__xludf.DUMMYFUNCTION("""COMPUTED_VALUE"""),TRUE)</f>
        <v>1</v>
      </c>
      <c r="X43" s="45" t="b">
        <f>IFERROR(__xludf.DUMMYFUNCTION("""COMPUTED_VALUE"""),TRUE)</f>
        <v>1</v>
      </c>
      <c r="Y43" s="45" t="b">
        <f>IFERROR(__xludf.DUMMYFUNCTION("""COMPUTED_VALUE"""),FALSE)</f>
        <v>0</v>
      </c>
      <c r="Z43" s="45" t="b">
        <f>IFERROR(__xludf.DUMMYFUNCTION("""COMPUTED_VALUE"""),FALSE)</f>
        <v>0</v>
      </c>
      <c r="AA43" s="45" t="b">
        <f>IFERROR(__xludf.DUMMYFUNCTION("""COMPUTED_VALUE"""),FALSE)</f>
        <v>0</v>
      </c>
      <c r="AB43" s="45" t="b">
        <f>IFERROR(__xludf.DUMMYFUNCTION("""COMPUTED_VALUE"""),FALSE)</f>
        <v>0</v>
      </c>
      <c r="AC43" s="45" t="b">
        <f>IFERROR(__xludf.DUMMYFUNCTION("""COMPUTED_VALUE"""),TRUE)</f>
        <v>1</v>
      </c>
      <c r="AD43" s="45" t="b">
        <f>IFERROR(__xludf.DUMMYFUNCTION("""COMPUTED_VALUE"""),TRUE)</f>
        <v>1</v>
      </c>
      <c r="AE43" s="45" t="b">
        <f>IFERROR(__xludf.DUMMYFUNCTION("""COMPUTED_VALUE"""),TRUE)</f>
        <v>1</v>
      </c>
      <c r="AF43" s="45" t="b">
        <f>IFERROR(__xludf.DUMMYFUNCTION("""COMPUTED_VALUE"""),TRUE)</f>
        <v>1</v>
      </c>
    </row>
    <row r="44">
      <c r="A44" s="45" t="b">
        <v>0</v>
      </c>
      <c r="B44" s="45" t="str">
        <f>IFERROR(__xludf.DUMMYFUNCTION("""COMPUTED_VALUE"""),"Man-faced stink bug")</f>
        <v>Man-faced stink bug</v>
      </c>
      <c r="C44" s="45">
        <f>IFERROR(__xludf.DUMMYFUNCTION("""COMPUTED_VALUE"""),1000.0)</f>
        <v>1000</v>
      </c>
      <c r="D44" s="45" t="str">
        <f>IFERROR(__xludf.DUMMYFUNCTION("""COMPUTED_VALUE"""),"7 p.m. - 8 a.m.")</f>
        <v>7 p.m. - 8 a.m.</v>
      </c>
      <c r="E44" s="45" t="str">
        <f>IFERROR(__xludf.DUMMYFUNCTION("""COMPUTED_VALUE"""),"On flowers")</f>
        <v>On flowers</v>
      </c>
      <c r="F44" s="45"/>
      <c r="G44" s="45"/>
      <c r="H44" s="45" t="b">
        <f>IFERROR(__xludf.DUMMYFUNCTION("""COMPUTED_VALUE"""),FALSE)</f>
        <v>0</v>
      </c>
      <c r="I44" s="45" t="b">
        <f>IFERROR(__xludf.DUMMYFUNCTION("""COMPUTED_VALUE"""),FALSE)</f>
        <v>0</v>
      </c>
      <c r="J44" s="45" t="b">
        <f>IFERROR(__xludf.DUMMYFUNCTION("""COMPUTED_VALUE"""),TRUE)</f>
        <v>1</v>
      </c>
      <c r="K44" s="45" t="b">
        <f>IFERROR(__xludf.DUMMYFUNCTION("""COMPUTED_VALUE"""),TRUE)</f>
        <v>1</v>
      </c>
      <c r="L44" s="45" t="b">
        <f>IFERROR(__xludf.DUMMYFUNCTION("""COMPUTED_VALUE"""),TRUE)</f>
        <v>1</v>
      </c>
      <c r="M44" s="45" t="b">
        <f>IFERROR(__xludf.DUMMYFUNCTION("""COMPUTED_VALUE"""),TRUE)</f>
        <v>1</v>
      </c>
      <c r="N44" s="45" t="b">
        <f>IFERROR(__xludf.DUMMYFUNCTION("""COMPUTED_VALUE"""),TRUE)</f>
        <v>1</v>
      </c>
      <c r="O44" s="45" t="b">
        <f>IFERROR(__xludf.DUMMYFUNCTION("""COMPUTED_VALUE"""),TRUE)</f>
        <v>1</v>
      </c>
      <c r="P44" s="45" t="b">
        <f>IFERROR(__xludf.DUMMYFUNCTION("""COMPUTED_VALUE"""),TRUE)</f>
        <v>1</v>
      </c>
      <c r="Q44" s="45" t="b">
        <f>IFERROR(__xludf.DUMMYFUNCTION("""COMPUTED_VALUE"""),TRUE)</f>
        <v>1</v>
      </c>
      <c r="R44" s="45" t="b">
        <f>IFERROR(__xludf.DUMMYFUNCTION("""COMPUTED_VALUE"""),FALSE)</f>
        <v>0</v>
      </c>
      <c r="S44" s="45" t="b">
        <f>IFERROR(__xludf.DUMMYFUNCTION("""COMPUTED_VALUE"""),FALSE)</f>
        <v>0</v>
      </c>
      <c r="T44" s="45"/>
      <c r="U44" s="45" t="b">
        <f>IFERROR(__xludf.DUMMYFUNCTION("""COMPUTED_VALUE"""),TRUE)</f>
        <v>1</v>
      </c>
      <c r="V44" s="45" t="b">
        <f>IFERROR(__xludf.DUMMYFUNCTION("""COMPUTED_VALUE"""),TRUE)</f>
        <v>1</v>
      </c>
      <c r="W44" s="45" t="b">
        <f>IFERROR(__xludf.DUMMYFUNCTION("""COMPUTED_VALUE"""),TRUE)</f>
        <v>1</v>
      </c>
      <c r="X44" s="45" t="b">
        <f>IFERROR(__xludf.DUMMYFUNCTION("""COMPUTED_VALUE"""),TRUE)</f>
        <v>1</v>
      </c>
      <c r="Y44" s="45" t="b">
        <f>IFERROR(__xludf.DUMMYFUNCTION("""COMPUTED_VALUE"""),FALSE)</f>
        <v>0</v>
      </c>
      <c r="Z44" s="45" t="b">
        <f>IFERROR(__xludf.DUMMYFUNCTION("""COMPUTED_VALUE"""),FALSE)</f>
        <v>0</v>
      </c>
      <c r="AA44" s="45" t="b">
        <f>IFERROR(__xludf.DUMMYFUNCTION("""COMPUTED_VALUE"""),FALSE)</f>
        <v>0</v>
      </c>
      <c r="AB44" s="45" t="b">
        <f>IFERROR(__xludf.DUMMYFUNCTION("""COMPUTED_VALUE"""),FALSE)</f>
        <v>0</v>
      </c>
      <c r="AC44" s="45" t="b">
        <f>IFERROR(__xludf.DUMMYFUNCTION("""COMPUTED_VALUE"""),TRUE)</f>
        <v>1</v>
      </c>
      <c r="AD44" s="45" t="b">
        <f>IFERROR(__xludf.DUMMYFUNCTION("""COMPUTED_VALUE"""),TRUE)</f>
        <v>1</v>
      </c>
      <c r="AE44" s="45" t="b">
        <f>IFERROR(__xludf.DUMMYFUNCTION("""COMPUTED_VALUE"""),TRUE)</f>
        <v>1</v>
      </c>
      <c r="AF44" s="45" t="b">
        <f>IFERROR(__xludf.DUMMYFUNCTION("""COMPUTED_VALUE"""),TRUE)</f>
        <v>1</v>
      </c>
    </row>
    <row r="45">
      <c r="A45" s="45" t="b">
        <v>0</v>
      </c>
      <c r="B45" s="45" t="str">
        <f>IFERROR(__xludf.DUMMYFUNCTION("""COMPUTED_VALUE"""),"Ladybug")</f>
        <v>Ladybug</v>
      </c>
      <c r="C45" s="45">
        <f>IFERROR(__xludf.DUMMYFUNCTION("""COMPUTED_VALUE"""),200.0)</f>
        <v>200</v>
      </c>
      <c r="D45" s="45" t="str">
        <f>IFERROR(__xludf.DUMMYFUNCTION("""COMPUTED_VALUE"""),"8 a.m. - 5 p.m.")</f>
        <v>8 a.m. - 5 p.m.</v>
      </c>
      <c r="E45" s="45" t="str">
        <f>IFERROR(__xludf.DUMMYFUNCTION("""COMPUTED_VALUE"""),"On flowers")</f>
        <v>On flowers</v>
      </c>
      <c r="F45" s="45"/>
      <c r="G45" s="45"/>
      <c r="H45" s="45" t="b">
        <f>IFERROR(__xludf.DUMMYFUNCTION("""COMPUTED_VALUE"""),FALSE)</f>
        <v>0</v>
      </c>
      <c r="I45" s="45" t="b">
        <f>IFERROR(__xludf.DUMMYFUNCTION("""COMPUTED_VALUE"""),FALSE)</f>
        <v>0</v>
      </c>
      <c r="J45" s="45" t="b">
        <f>IFERROR(__xludf.DUMMYFUNCTION("""COMPUTED_VALUE"""),TRUE)</f>
        <v>1</v>
      </c>
      <c r="K45" s="45" t="b">
        <f>IFERROR(__xludf.DUMMYFUNCTION("""COMPUTED_VALUE"""),TRUE)</f>
        <v>1</v>
      </c>
      <c r="L45" s="45" t="b">
        <f>IFERROR(__xludf.DUMMYFUNCTION("""COMPUTED_VALUE"""),TRUE)</f>
        <v>1</v>
      </c>
      <c r="M45" s="45" t="b">
        <f>IFERROR(__xludf.DUMMYFUNCTION("""COMPUTED_VALUE"""),TRUE)</f>
        <v>1</v>
      </c>
      <c r="N45" s="45" t="b">
        <f>IFERROR(__xludf.DUMMYFUNCTION("""COMPUTED_VALUE"""),FALSE)</f>
        <v>0</v>
      </c>
      <c r="O45" s="45" t="b">
        <f>IFERROR(__xludf.DUMMYFUNCTION("""COMPUTED_VALUE"""),FALSE)</f>
        <v>0</v>
      </c>
      <c r="P45" s="45" t="b">
        <f>IFERROR(__xludf.DUMMYFUNCTION("""COMPUTED_VALUE"""),FALSE)</f>
        <v>0</v>
      </c>
      <c r="Q45" s="45" t="b">
        <f>IFERROR(__xludf.DUMMYFUNCTION("""COMPUTED_VALUE"""),TRUE)</f>
        <v>1</v>
      </c>
      <c r="R45" s="45" t="b">
        <f>IFERROR(__xludf.DUMMYFUNCTION("""COMPUTED_VALUE"""),FALSE)</f>
        <v>0</v>
      </c>
      <c r="S45" s="45" t="b">
        <f>IFERROR(__xludf.DUMMYFUNCTION("""COMPUTED_VALUE"""),FALSE)</f>
        <v>0</v>
      </c>
      <c r="T45" s="45"/>
      <c r="U45" s="45" t="b">
        <f>IFERROR(__xludf.DUMMYFUNCTION("""COMPUTED_VALUE"""),FALSE)</f>
        <v>0</v>
      </c>
      <c r="V45" s="45" t="b">
        <f>IFERROR(__xludf.DUMMYFUNCTION("""COMPUTED_VALUE"""),FALSE)</f>
        <v>0</v>
      </c>
      <c r="W45" s="45" t="b">
        <f>IFERROR(__xludf.DUMMYFUNCTION("""COMPUTED_VALUE"""),FALSE)</f>
        <v>0</v>
      </c>
      <c r="X45" s="45" t="b">
        <f>IFERROR(__xludf.DUMMYFUNCTION("""COMPUTED_VALUE"""),TRUE)</f>
        <v>1</v>
      </c>
      <c r="Y45" s="45" t="b">
        <f>IFERROR(__xludf.DUMMYFUNCTION("""COMPUTED_VALUE"""),FALSE)</f>
        <v>0</v>
      </c>
      <c r="Z45" s="45" t="b">
        <f>IFERROR(__xludf.DUMMYFUNCTION("""COMPUTED_VALUE"""),FALSE)</f>
        <v>0</v>
      </c>
      <c r="AA45" s="45" t="b">
        <f>IFERROR(__xludf.DUMMYFUNCTION("""COMPUTED_VALUE"""),FALSE)</f>
        <v>0</v>
      </c>
      <c r="AB45" s="45" t="b">
        <f>IFERROR(__xludf.DUMMYFUNCTION("""COMPUTED_VALUE"""),FALSE)</f>
        <v>0</v>
      </c>
      <c r="AC45" s="45" t="b">
        <f>IFERROR(__xludf.DUMMYFUNCTION("""COMPUTED_VALUE"""),TRUE)</f>
        <v>1</v>
      </c>
      <c r="AD45" s="45" t="b">
        <f>IFERROR(__xludf.DUMMYFUNCTION("""COMPUTED_VALUE"""),TRUE)</f>
        <v>1</v>
      </c>
      <c r="AE45" s="45" t="b">
        <f>IFERROR(__xludf.DUMMYFUNCTION("""COMPUTED_VALUE"""),TRUE)</f>
        <v>1</v>
      </c>
      <c r="AF45" s="45" t="b">
        <f>IFERROR(__xludf.DUMMYFUNCTION("""COMPUTED_VALUE"""),TRUE)</f>
        <v>1</v>
      </c>
    </row>
    <row r="46">
      <c r="A46" s="45" t="b">
        <v>0</v>
      </c>
      <c r="B46" s="45" t="str">
        <f>IFERROR(__xludf.DUMMYFUNCTION("""COMPUTED_VALUE"""),"Tiger beetle")</f>
        <v>Tiger beetle</v>
      </c>
      <c r="C46" s="45">
        <f>IFERROR(__xludf.DUMMYFUNCTION("""COMPUTED_VALUE"""),1500.0)</f>
        <v>1500</v>
      </c>
      <c r="D46" s="45" t="str">
        <f>IFERROR(__xludf.DUMMYFUNCTION("""COMPUTED_VALUE"""),"All day")</f>
        <v>All day</v>
      </c>
      <c r="E46" s="45" t="str">
        <f>IFERROR(__xludf.DUMMYFUNCTION("""COMPUTED_VALUE"""),"On ground")</f>
        <v>On ground</v>
      </c>
      <c r="F46" s="45"/>
      <c r="G46" s="45"/>
      <c r="H46" s="45" t="b">
        <f>IFERROR(__xludf.DUMMYFUNCTION("""COMPUTED_VALUE"""),FALSE)</f>
        <v>0</v>
      </c>
      <c r="I46" s="45" t="b">
        <f>IFERROR(__xludf.DUMMYFUNCTION("""COMPUTED_VALUE"""),TRUE)</f>
        <v>1</v>
      </c>
      <c r="J46" s="45" t="b">
        <f>IFERROR(__xludf.DUMMYFUNCTION("""COMPUTED_VALUE"""),TRUE)</f>
        <v>1</v>
      </c>
      <c r="K46" s="45" t="b">
        <f>IFERROR(__xludf.DUMMYFUNCTION("""COMPUTED_VALUE"""),TRUE)</f>
        <v>1</v>
      </c>
      <c r="L46" s="45" t="b">
        <f>IFERROR(__xludf.DUMMYFUNCTION("""COMPUTED_VALUE"""),TRUE)</f>
        <v>1</v>
      </c>
      <c r="M46" s="45" t="b">
        <f>IFERROR(__xludf.DUMMYFUNCTION("""COMPUTED_VALUE"""),TRUE)</f>
        <v>1</v>
      </c>
      <c r="N46" s="45" t="b">
        <f>IFERROR(__xludf.DUMMYFUNCTION("""COMPUTED_VALUE"""),TRUE)</f>
        <v>1</v>
      </c>
      <c r="O46" s="45" t="b">
        <f>IFERROR(__xludf.DUMMYFUNCTION("""COMPUTED_VALUE"""),TRUE)</f>
        <v>1</v>
      </c>
      <c r="P46" s="45" t="b">
        <f>IFERROR(__xludf.DUMMYFUNCTION("""COMPUTED_VALUE"""),TRUE)</f>
        <v>1</v>
      </c>
      <c r="Q46" s="45" t="b">
        <f>IFERROR(__xludf.DUMMYFUNCTION("""COMPUTED_VALUE"""),TRUE)</f>
        <v>1</v>
      </c>
      <c r="R46" s="45" t="b">
        <f>IFERROR(__xludf.DUMMYFUNCTION("""COMPUTED_VALUE"""),FALSE)</f>
        <v>0</v>
      </c>
      <c r="S46" s="45" t="b">
        <f>IFERROR(__xludf.DUMMYFUNCTION("""COMPUTED_VALUE"""),FALSE)</f>
        <v>0</v>
      </c>
      <c r="T46" s="45"/>
      <c r="U46" s="45" t="b">
        <f>IFERROR(__xludf.DUMMYFUNCTION("""COMPUTED_VALUE"""),TRUE)</f>
        <v>1</v>
      </c>
      <c r="V46" s="45" t="b">
        <f>IFERROR(__xludf.DUMMYFUNCTION("""COMPUTED_VALUE"""),TRUE)</f>
        <v>1</v>
      </c>
      <c r="W46" s="45" t="b">
        <f>IFERROR(__xludf.DUMMYFUNCTION("""COMPUTED_VALUE"""),TRUE)</f>
        <v>1</v>
      </c>
      <c r="X46" s="45" t="b">
        <f>IFERROR(__xludf.DUMMYFUNCTION("""COMPUTED_VALUE"""),TRUE)</f>
        <v>1</v>
      </c>
      <c r="Y46" s="45" t="b">
        <f>IFERROR(__xludf.DUMMYFUNCTION("""COMPUTED_VALUE"""),FALSE)</f>
        <v>0</v>
      </c>
      <c r="Z46" s="45" t="b">
        <f>IFERROR(__xludf.DUMMYFUNCTION("""COMPUTED_VALUE"""),FALSE)</f>
        <v>0</v>
      </c>
      <c r="AA46" s="45" t="b">
        <f>IFERROR(__xludf.DUMMYFUNCTION("""COMPUTED_VALUE"""),FALSE)</f>
        <v>0</v>
      </c>
      <c r="AB46" s="45" t="b">
        <f>IFERROR(__xludf.DUMMYFUNCTION("""COMPUTED_VALUE"""),TRUE)</f>
        <v>1</v>
      </c>
      <c r="AC46" s="45" t="b">
        <f>IFERROR(__xludf.DUMMYFUNCTION("""COMPUTED_VALUE"""),TRUE)</f>
        <v>1</v>
      </c>
      <c r="AD46" s="45" t="b">
        <f>IFERROR(__xludf.DUMMYFUNCTION("""COMPUTED_VALUE"""),TRUE)</f>
        <v>1</v>
      </c>
      <c r="AE46" s="45" t="b">
        <f>IFERROR(__xludf.DUMMYFUNCTION("""COMPUTED_VALUE"""),TRUE)</f>
        <v>1</v>
      </c>
      <c r="AF46" s="45" t="b">
        <f>IFERROR(__xludf.DUMMYFUNCTION("""COMPUTED_VALUE"""),TRUE)</f>
        <v>1</v>
      </c>
    </row>
    <row r="47">
      <c r="A47" s="45" t="b">
        <v>0</v>
      </c>
      <c r="B47" s="45" t="str">
        <f>IFERROR(__xludf.DUMMYFUNCTION("""COMPUTED_VALUE"""),"Jewel beetle")</f>
        <v>Jewel beetle</v>
      </c>
      <c r="C47" s="45">
        <f>IFERROR(__xludf.DUMMYFUNCTION("""COMPUTED_VALUE"""),2400.0)</f>
        <v>2400</v>
      </c>
      <c r="D47" s="45" t="str">
        <f>IFERROR(__xludf.DUMMYFUNCTION("""COMPUTED_VALUE"""),"All day")</f>
        <v>All day</v>
      </c>
      <c r="E47" s="45" t="str">
        <f>IFERROR(__xludf.DUMMYFUNCTION("""COMPUTED_VALUE"""),"On tree stumps")</f>
        <v>On tree stumps</v>
      </c>
      <c r="F47" s="45"/>
      <c r="G47" s="45"/>
      <c r="H47" s="45" t="b">
        <f>IFERROR(__xludf.DUMMYFUNCTION("""COMPUTED_VALUE"""),FALSE)</f>
        <v>0</v>
      </c>
      <c r="I47" s="45" t="b">
        <f>IFERROR(__xludf.DUMMYFUNCTION("""COMPUTED_VALUE"""),FALSE)</f>
        <v>0</v>
      </c>
      <c r="J47" s="45" t="b">
        <f>IFERROR(__xludf.DUMMYFUNCTION("""COMPUTED_VALUE"""),FALSE)</f>
        <v>0</v>
      </c>
      <c r="K47" s="45" t="b">
        <f>IFERROR(__xludf.DUMMYFUNCTION("""COMPUTED_VALUE"""),TRUE)</f>
        <v>1</v>
      </c>
      <c r="L47" s="45" t="b">
        <f>IFERROR(__xludf.DUMMYFUNCTION("""COMPUTED_VALUE"""),TRUE)</f>
        <v>1</v>
      </c>
      <c r="M47" s="45" t="b">
        <f>IFERROR(__xludf.DUMMYFUNCTION("""COMPUTED_VALUE"""),TRUE)</f>
        <v>1</v>
      </c>
      <c r="N47" s="45" t="b">
        <f>IFERROR(__xludf.DUMMYFUNCTION("""COMPUTED_VALUE"""),TRUE)</f>
        <v>1</v>
      </c>
      <c r="O47" s="45" t="b">
        <f>IFERROR(__xludf.DUMMYFUNCTION("""COMPUTED_VALUE"""),TRUE)</f>
        <v>1</v>
      </c>
      <c r="P47" s="45" t="b">
        <f>IFERROR(__xludf.DUMMYFUNCTION("""COMPUTED_VALUE"""),FALSE)</f>
        <v>0</v>
      </c>
      <c r="Q47" s="45" t="b">
        <f>IFERROR(__xludf.DUMMYFUNCTION("""COMPUTED_VALUE"""),FALSE)</f>
        <v>0</v>
      </c>
      <c r="R47" s="45" t="b">
        <f>IFERROR(__xludf.DUMMYFUNCTION("""COMPUTED_VALUE"""),FALSE)</f>
        <v>0</v>
      </c>
      <c r="S47" s="45" t="b">
        <f>IFERROR(__xludf.DUMMYFUNCTION("""COMPUTED_VALUE"""),FALSE)</f>
        <v>0</v>
      </c>
      <c r="T47" s="45"/>
      <c r="U47" s="45" t="b">
        <f>IFERROR(__xludf.DUMMYFUNCTION("""COMPUTED_VALUE"""),TRUE)</f>
        <v>1</v>
      </c>
      <c r="V47" s="45" t="b">
        <f>IFERROR(__xludf.DUMMYFUNCTION("""COMPUTED_VALUE"""),TRUE)</f>
        <v>1</v>
      </c>
      <c r="W47" s="45" t="b">
        <f>IFERROR(__xludf.DUMMYFUNCTION("""COMPUTED_VALUE"""),FALSE)</f>
        <v>0</v>
      </c>
      <c r="X47" s="45" t="b">
        <f>IFERROR(__xludf.DUMMYFUNCTION("""COMPUTED_VALUE"""),FALSE)</f>
        <v>0</v>
      </c>
      <c r="Y47" s="45" t="b">
        <f>IFERROR(__xludf.DUMMYFUNCTION("""COMPUTED_VALUE"""),FALSE)</f>
        <v>0</v>
      </c>
      <c r="Z47" s="45" t="b">
        <f>IFERROR(__xludf.DUMMYFUNCTION("""COMPUTED_VALUE"""),FALSE)</f>
        <v>0</v>
      </c>
      <c r="AA47" s="45" t="b">
        <f>IFERROR(__xludf.DUMMYFUNCTION("""COMPUTED_VALUE"""),FALSE)</f>
        <v>0</v>
      </c>
      <c r="AB47" s="45" t="b">
        <f>IFERROR(__xludf.DUMMYFUNCTION("""COMPUTED_VALUE"""),FALSE)</f>
        <v>0</v>
      </c>
      <c r="AC47" s="45" t="b">
        <f>IFERROR(__xludf.DUMMYFUNCTION("""COMPUTED_VALUE"""),FALSE)</f>
        <v>0</v>
      </c>
      <c r="AD47" s="45" t="b">
        <f>IFERROR(__xludf.DUMMYFUNCTION("""COMPUTED_VALUE"""),TRUE)</f>
        <v>1</v>
      </c>
      <c r="AE47" s="45" t="b">
        <f>IFERROR(__xludf.DUMMYFUNCTION("""COMPUTED_VALUE"""),TRUE)</f>
        <v>1</v>
      </c>
      <c r="AF47" s="45" t="b">
        <f>IFERROR(__xludf.DUMMYFUNCTION("""COMPUTED_VALUE"""),TRUE)</f>
        <v>1</v>
      </c>
    </row>
    <row r="48">
      <c r="A48" s="45" t="b">
        <v>0</v>
      </c>
      <c r="B48" s="45" t="str">
        <f>IFERROR(__xludf.DUMMYFUNCTION("""COMPUTED_VALUE"""),"Violin beetle")</f>
        <v>Violin beetle</v>
      </c>
      <c r="C48" s="45">
        <f>IFERROR(__xludf.DUMMYFUNCTION("""COMPUTED_VALUE"""),450.0)</f>
        <v>450</v>
      </c>
      <c r="D48" s="45" t="str">
        <f>IFERROR(__xludf.DUMMYFUNCTION("""COMPUTED_VALUE"""),"All day")</f>
        <v>All day</v>
      </c>
      <c r="E48" s="45" t="str">
        <f>IFERROR(__xludf.DUMMYFUNCTION("""COMPUTED_VALUE"""),"On tree stumps")</f>
        <v>On tree stumps</v>
      </c>
      <c r="F48" s="45"/>
      <c r="G48" s="45"/>
      <c r="H48" s="45" t="b">
        <f>IFERROR(__xludf.DUMMYFUNCTION("""COMPUTED_VALUE"""),FALSE)</f>
        <v>0</v>
      </c>
      <c r="I48" s="45" t="b">
        <f>IFERROR(__xludf.DUMMYFUNCTION("""COMPUTED_VALUE"""),FALSE)</f>
        <v>0</v>
      </c>
      <c r="J48" s="45" t="b">
        <f>IFERROR(__xludf.DUMMYFUNCTION("""COMPUTED_VALUE"""),FALSE)</f>
        <v>0</v>
      </c>
      <c r="K48" s="45" t="b">
        <f>IFERROR(__xludf.DUMMYFUNCTION("""COMPUTED_VALUE"""),FALSE)</f>
        <v>0</v>
      </c>
      <c r="L48" s="45" t="b">
        <f>IFERROR(__xludf.DUMMYFUNCTION("""COMPUTED_VALUE"""),TRUE)</f>
        <v>1</v>
      </c>
      <c r="M48" s="45" t="b">
        <f>IFERROR(__xludf.DUMMYFUNCTION("""COMPUTED_VALUE"""),TRUE)</f>
        <v>1</v>
      </c>
      <c r="N48" s="45" t="b">
        <f>IFERROR(__xludf.DUMMYFUNCTION("""COMPUTED_VALUE"""),FALSE)</f>
        <v>0</v>
      </c>
      <c r="O48" s="45" t="b">
        <f>IFERROR(__xludf.DUMMYFUNCTION("""COMPUTED_VALUE"""),FALSE)</f>
        <v>0</v>
      </c>
      <c r="P48" s="45" t="b">
        <f>IFERROR(__xludf.DUMMYFUNCTION("""COMPUTED_VALUE"""),TRUE)</f>
        <v>1</v>
      </c>
      <c r="Q48" s="45" t="b">
        <f>IFERROR(__xludf.DUMMYFUNCTION("""COMPUTED_VALUE"""),TRUE)</f>
        <v>1</v>
      </c>
      <c r="R48" s="45" t="b">
        <f>IFERROR(__xludf.DUMMYFUNCTION("""COMPUTED_VALUE"""),TRUE)</f>
        <v>1</v>
      </c>
      <c r="S48" s="45" t="b">
        <f>IFERROR(__xludf.DUMMYFUNCTION("""COMPUTED_VALUE"""),FALSE)</f>
        <v>0</v>
      </c>
      <c r="T48" s="45"/>
      <c r="U48" s="45" t="b">
        <f>IFERROR(__xludf.DUMMYFUNCTION("""COMPUTED_VALUE"""),FALSE)</f>
        <v>0</v>
      </c>
      <c r="V48" s="45" t="b">
        <f>IFERROR(__xludf.DUMMYFUNCTION("""COMPUTED_VALUE"""),FALSE)</f>
        <v>0</v>
      </c>
      <c r="W48" s="45" t="b">
        <f>IFERROR(__xludf.DUMMYFUNCTION("""COMPUTED_VALUE"""),TRUE)</f>
        <v>1</v>
      </c>
      <c r="X48" s="45" t="b">
        <f>IFERROR(__xludf.DUMMYFUNCTION("""COMPUTED_VALUE"""),TRUE)</f>
        <v>1</v>
      </c>
      <c r="Y48" s="45" t="b">
        <f>IFERROR(__xludf.DUMMYFUNCTION("""COMPUTED_VALUE"""),TRUE)</f>
        <v>1</v>
      </c>
      <c r="Z48" s="45" t="b">
        <f>IFERROR(__xludf.DUMMYFUNCTION("""COMPUTED_VALUE"""),FALSE)</f>
        <v>0</v>
      </c>
      <c r="AA48" s="45" t="b">
        <f>IFERROR(__xludf.DUMMYFUNCTION("""COMPUTED_VALUE"""),FALSE)</f>
        <v>0</v>
      </c>
      <c r="AB48" s="45" t="b">
        <f>IFERROR(__xludf.DUMMYFUNCTION("""COMPUTED_VALUE"""),FALSE)</f>
        <v>0</v>
      </c>
      <c r="AC48" s="45" t="b">
        <f>IFERROR(__xludf.DUMMYFUNCTION("""COMPUTED_VALUE"""),FALSE)</f>
        <v>0</v>
      </c>
      <c r="AD48" s="45" t="b">
        <f>IFERROR(__xludf.DUMMYFUNCTION("""COMPUTED_VALUE"""),FALSE)</f>
        <v>0</v>
      </c>
      <c r="AE48" s="45" t="b">
        <f>IFERROR(__xludf.DUMMYFUNCTION("""COMPUTED_VALUE"""),TRUE)</f>
        <v>1</v>
      </c>
      <c r="AF48" s="45" t="b">
        <f>IFERROR(__xludf.DUMMYFUNCTION("""COMPUTED_VALUE"""),TRUE)</f>
        <v>1</v>
      </c>
    </row>
    <row r="49">
      <c r="A49" s="45" t="b">
        <v>0</v>
      </c>
      <c r="B49" s="45" t="str">
        <f>IFERROR(__xludf.DUMMYFUNCTION("""COMPUTED_VALUE"""),"Citrus long-horned beetle")</f>
        <v>Citrus long-horned beetle</v>
      </c>
      <c r="C49" s="45">
        <f>IFERROR(__xludf.DUMMYFUNCTION("""COMPUTED_VALUE"""),350.0)</f>
        <v>350</v>
      </c>
      <c r="D49" s="45" t="str">
        <f>IFERROR(__xludf.DUMMYFUNCTION("""COMPUTED_VALUE"""),"All day")</f>
        <v>All day</v>
      </c>
      <c r="E49" s="45" t="str">
        <f>IFERROR(__xludf.DUMMYFUNCTION("""COMPUTED_VALUE"""),"On tree stumps")</f>
        <v>On tree stumps</v>
      </c>
      <c r="F49" s="45"/>
      <c r="G49" s="45"/>
      <c r="H49" s="45" t="b">
        <f>IFERROR(__xludf.DUMMYFUNCTION("""COMPUTED_VALUE"""),TRUE)</f>
        <v>1</v>
      </c>
      <c r="I49" s="45" t="b">
        <f>IFERROR(__xludf.DUMMYFUNCTION("""COMPUTED_VALUE"""),TRUE)</f>
        <v>1</v>
      </c>
      <c r="J49" s="45" t="b">
        <f>IFERROR(__xludf.DUMMYFUNCTION("""COMPUTED_VALUE"""),TRUE)</f>
        <v>1</v>
      </c>
      <c r="K49" s="45" t="b">
        <f>IFERROR(__xludf.DUMMYFUNCTION("""COMPUTED_VALUE"""),TRUE)</f>
        <v>1</v>
      </c>
      <c r="L49" s="45" t="b">
        <f>IFERROR(__xludf.DUMMYFUNCTION("""COMPUTED_VALUE"""),TRUE)</f>
        <v>1</v>
      </c>
      <c r="M49" s="45" t="b">
        <f>IFERROR(__xludf.DUMMYFUNCTION("""COMPUTED_VALUE"""),TRUE)</f>
        <v>1</v>
      </c>
      <c r="N49" s="45" t="b">
        <f>IFERROR(__xludf.DUMMYFUNCTION("""COMPUTED_VALUE"""),TRUE)</f>
        <v>1</v>
      </c>
      <c r="O49" s="45" t="b">
        <f>IFERROR(__xludf.DUMMYFUNCTION("""COMPUTED_VALUE"""),TRUE)</f>
        <v>1</v>
      </c>
      <c r="P49" s="45" t="b">
        <f>IFERROR(__xludf.DUMMYFUNCTION("""COMPUTED_VALUE"""),TRUE)</f>
        <v>1</v>
      </c>
      <c r="Q49" s="45" t="b">
        <f>IFERROR(__xludf.DUMMYFUNCTION("""COMPUTED_VALUE"""),TRUE)</f>
        <v>1</v>
      </c>
      <c r="R49" s="45" t="b">
        <f>IFERROR(__xludf.DUMMYFUNCTION("""COMPUTED_VALUE"""),TRUE)</f>
        <v>1</v>
      </c>
      <c r="S49" s="45" t="b">
        <f>IFERROR(__xludf.DUMMYFUNCTION("""COMPUTED_VALUE"""),TRUE)</f>
        <v>1</v>
      </c>
      <c r="T49" s="45"/>
      <c r="U49" s="45" t="b">
        <f>IFERROR(__xludf.DUMMYFUNCTION("""COMPUTED_VALUE"""),TRUE)</f>
        <v>1</v>
      </c>
      <c r="V49" s="45" t="b">
        <f>IFERROR(__xludf.DUMMYFUNCTION("""COMPUTED_VALUE"""),TRUE)</f>
        <v>1</v>
      </c>
      <c r="W49" s="45" t="b">
        <f>IFERROR(__xludf.DUMMYFUNCTION("""COMPUTED_VALUE"""),TRUE)</f>
        <v>1</v>
      </c>
      <c r="X49" s="45" t="b">
        <f>IFERROR(__xludf.DUMMYFUNCTION("""COMPUTED_VALUE"""),TRUE)</f>
        <v>1</v>
      </c>
      <c r="Y49" s="45" t="b">
        <f>IFERROR(__xludf.DUMMYFUNCTION("""COMPUTED_VALUE"""),TRUE)</f>
        <v>1</v>
      </c>
      <c r="Z49" s="45" t="b">
        <f>IFERROR(__xludf.DUMMYFUNCTION("""COMPUTED_VALUE"""),TRUE)</f>
        <v>1</v>
      </c>
      <c r="AA49" s="45" t="b">
        <f>IFERROR(__xludf.DUMMYFUNCTION("""COMPUTED_VALUE"""),TRUE)</f>
        <v>1</v>
      </c>
      <c r="AB49" s="45" t="b">
        <f>IFERROR(__xludf.DUMMYFUNCTION("""COMPUTED_VALUE"""),TRUE)</f>
        <v>1</v>
      </c>
      <c r="AC49" s="45" t="b">
        <f>IFERROR(__xludf.DUMMYFUNCTION("""COMPUTED_VALUE"""),TRUE)</f>
        <v>1</v>
      </c>
      <c r="AD49" s="45" t="b">
        <f>IFERROR(__xludf.DUMMYFUNCTION("""COMPUTED_VALUE"""),TRUE)</f>
        <v>1</v>
      </c>
      <c r="AE49" s="45" t="b">
        <f>IFERROR(__xludf.DUMMYFUNCTION("""COMPUTED_VALUE"""),TRUE)</f>
        <v>1</v>
      </c>
      <c r="AF49" s="45" t="b">
        <f>IFERROR(__xludf.DUMMYFUNCTION("""COMPUTED_VALUE"""),TRUE)</f>
        <v>1</v>
      </c>
    </row>
    <row r="50">
      <c r="A50" s="45" t="b">
        <v>0</v>
      </c>
      <c r="B50" s="45" t="str">
        <f>IFERROR(__xludf.DUMMYFUNCTION("""COMPUTED_VALUE"""),"Rosalia batesi beetle")</f>
        <v>Rosalia batesi beetle</v>
      </c>
      <c r="C50" s="45">
        <f>IFERROR(__xludf.DUMMYFUNCTION("""COMPUTED_VALUE"""),3000.0)</f>
        <v>3000</v>
      </c>
      <c r="D50" s="45" t="str">
        <f>IFERROR(__xludf.DUMMYFUNCTION("""COMPUTED_VALUE"""),"All day")</f>
        <v>All day</v>
      </c>
      <c r="E50" s="45" t="str">
        <f>IFERROR(__xludf.DUMMYFUNCTION("""COMPUTED_VALUE"""),"On tree stumps")</f>
        <v>On tree stumps</v>
      </c>
      <c r="F50" s="45"/>
      <c r="G50" s="45"/>
      <c r="H50" s="45" t="b">
        <f>IFERROR(__xludf.DUMMYFUNCTION("""COMPUTED_VALUE"""),FALSE)</f>
        <v>0</v>
      </c>
      <c r="I50" s="45" t="b">
        <f>IFERROR(__xludf.DUMMYFUNCTION("""COMPUTED_VALUE"""),FALSE)</f>
        <v>0</v>
      </c>
      <c r="J50" s="45" t="b">
        <f>IFERROR(__xludf.DUMMYFUNCTION("""COMPUTED_VALUE"""),FALSE)</f>
        <v>0</v>
      </c>
      <c r="K50" s="45" t="b">
        <f>IFERROR(__xludf.DUMMYFUNCTION("""COMPUTED_VALUE"""),FALSE)</f>
        <v>0</v>
      </c>
      <c r="L50" s="45" t="b">
        <f>IFERROR(__xludf.DUMMYFUNCTION("""COMPUTED_VALUE"""),TRUE)</f>
        <v>1</v>
      </c>
      <c r="M50" s="45" t="b">
        <f>IFERROR(__xludf.DUMMYFUNCTION("""COMPUTED_VALUE"""),TRUE)</f>
        <v>1</v>
      </c>
      <c r="N50" s="45" t="b">
        <f>IFERROR(__xludf.DUMMYFUNCTION("""COMPUTED_VALUE"""),TRUE)</f>
        <v>1</v>
      </c>
      <c r="O50" s="45" t="b">
        <f>IFERROR(__xludf.DUMMYFUNCTION("""COMPUTED_VALUE"""),TRUE)</f>
        <v>1</v>
      </c>
      <c r="P50" s="45" t="b">
        <f>IFERROR(__xludf.DUMMYFUNCTION("""COMPUTED_VALUE"""),TRUE)</f>
        <v>1</v>
      </c>
      <c r="Q50" s="45" t="b">
        <f>IFERROR(__xludf.DUMMYFUNCTION("""COMPUTED_VALUE"""),FALSE)</f>
        <v>0</v>
      </c>
      <c r="R50" s="45" t="b">
        <f>IFERROR(__xludf.DUMMYFUNCTION("""COMPUTED_VALUE"""),FALSE)</f>
        <v>0</v>
      </c>
      <c r="S50" s="45" t="b">
        <f>IFERROR(__xludf.DUMMYFUNCTION("""COMPUTED_VALUE"""),FALSE)</f>
        <v>0</v>
      </c>
      <c r="T50" s="45"/>
      <c r="U50" s="45" t="b">
        <f>IFERROR(__xludf.DUMMYFUNCTION("""COMPUTED_VALUE"""),TRUE)</f>
        <v>1</v>
      </c>
      <c r="V50" s="45" t="b">
        <f>IFERROR(__xludf.DUMMYFUNCTION("""COMPUTED_VALUE"""),TRUE)</f>
        <v>1</v>
      </c>
      <c r="W50" s="45" t="b">
        <f>IFERROR(__xludf.DUMMYFUNCTION("""COMPUTED_VALUE"""),TRUE)</f>
        <v>1</v>
      </c>
      <c r="X50" s="45" t="b">
        <f>IFERROR(__xludf.DUMMYFUNCTION("""COMPUTED_VALUE"""),FALSE)</f>
        <v>0</v>
      </c>
      <c r="Y50" s="45" t="b">
        <f>IFERROR(__xludf.DUMMYFUNCTION("""COMPUTED_VALUE"""),FALSE)</f>
        <v>0</v>
      </c>
      <c r="Z50" s="45" t="b">
        <f>IFERROR(__xludf.DUMMYFUNCTION("""COMPUTED_VALUE"""),FALSE)</f>
        <v>0</v>
      </c>
      <c r="AA50" s="45" t="b">
        <f>IFERROR(__xludf.DUMMYFUNCTION("""COMPUTED_VALUE"""),FALSE)</f>
        <v>0</v>
      </c>
      <c r="AB50" s="45" t="b">
        <f>IFERROR(__xludf.DUMMYFUNCTION("""COMPUTED_VALUE"""),FALSE)</f>
        <v>0</v>
      </c>
      <c r="AC50" s="45" t="b">
        <f>IFERROR(__xludf.DUMMYFUNCTION("""COMPUTED_VALUE"""),FALSE)</f>
        <v>0</v>
      </c>
      <c r="AD50" s="45" t="b">
        <f>IFERROR(__xludf.DUMMYFUNCTION("""COMPUTED_VALUE"""),FALSE)</f>
        <v>0</v>
      </c>
      <c r="AE50" s="45" t="b">
        <f>IFERROR(__xludf.DUMMYFUNCTION("""COMPUTED_VALUE"""),TRUE)</f>
        <v>1</v>
      </c>
      <c r="AF50" s="45" t="b">
        <f>IFERROR(__xludf.DUMMYFUNCTION("""COMPUTED_VALUE"""),TRUE)</f>
        <v>1</v>
      </c>
    </row>
    <row r="51">
      <c r="A51" s="45" t="b">
        <v>0</v>
      </c>
      <c r="B51" s="45" t="str">
        <f>IFERROR(__xludf.DUMMYFUNCTION("""COMPUTED_VALUE"""),"Blue weevil beetle")</f>
        <v>Blue weevil beetle</v>
      </c>
      <c r="C51" s="45">
        <f>IFERROR(__xludf.DUMMYFUNCTION("""COMPUTED_VALUE"""),800.0)</f>
        <v>800</v>
      </c>
      <c r="D51" s="45" t="str">
        <f>IFERROR(__xludf.DUMMYFUNCTION("""COMPUTED_VALUE"""),"All day")</f>
        <v>All day</v>
      </c>
      <c r="E51" s="45" t="str">
        <f>IFERROR(__xludf.DUMMYFUNCTION("""COMPUTED_VALUE"""),"On trees (Coconut)")</f>
        <v>On trees (Coconut)</v>
      </c>
      <c r="F51" s="45"/>
      <c r="G51" s="45"/>
      <c r="H51" s="45" t="b">
        <f>IFERROR(__xludf.DUMMYFUNCTION("""COMPUTED_VALUE"""),FALSE)</f>
        <v>0</v>
      </c>
      <c r="I51" s="45" t="b">
        <f>IFERROR(__xludf.DUMMYFUNCTION("""COMPUTED_VALUE"""),FALSE)</f>
        <v>0</v>
      </c>
      <c r="J51" s="45" t="b">
        <f>IFERROR(__xludf.DUMMYFUNCTION("""COMPUTED_VALUE"""),FALSE)</f>
        <v>0</v>
      </c>
      <c r="K51" s="45" t="b">
        <f>IFERROR(__xludf.DUMMYFUNCTION("""COMPUTED_VALUE"""),FALSE)</f>
        <v>0</v>
      </c>
      <c r="L51" s="45" t="b">
        <f>IFERROR(__xludf.DUMMYFUNCTION("""COMPUTED_VALUE"""),FALSE)</f>
        <v>0</v>
      </c>
      <c r="M51" s="45" t="b">
        <f>IFERROR(__xludf.DUMMYFUNCTION("""COMPUTED_VALUE"""),FALSE)</f>
        <v>0</v>
      </c>
      <c r="N51" s="45" t="b">
        <f>IFERROR(__xludf.DUMMYFUNCTION("""COMPUTED_VALUE"""),TRUE)</f>
        <v>1</v>
      </c>
      <c r="O51" s="45" t="b">
        <f>IFERROR(__xludf.DUMMYFUNCTION("""COMPUTED_VALUE"""),TRUE)</f>
        <v>1</v>
      </c>
      <c r="P51" s="45" t="b">
        <f>IFERROR(__xludf.DUMMYFUNCTION("""COMPUTED_VALUE"""),FALSE)</f>
        <v>0</v>
      </c>
      <c r="Q51" s="45" t="b">
        <f>IFERROR(__xludf.DUMMYFUNCTION("""COMPUTED_VALUE"""),FALSE)</f>
        <v>0</v>
      </c>
      <c r="R51" s="45" t="b">
        <f>IFERROR(__xludf.DUMMYFUNCTION("""COMPUTED_VALUE"""),FALSE)</f>
        <v>0</v>
      </c>
      <c r="S51" s="45" t="b">
        <f>IFERROR(__xludf.DUMMYFUNCTION("""COMPUTED_VALUE"""),FALSE)</f>
        <v>0</v>
      </c>
      <c r="T51" s="45"/>
      <c r="U51" s="45" t="b">
        <f>IFERROR(__xludf.DUMMYFUNCTION("""COMPUTED_VALUE"""),TRUE)</f>
        <v>1</v>
      </c>
      <c r="V51" s="45" t="b">
        <f>IFERROR(__xludf.DUMMYFUNCTION("""COMPUTED_VALUE"""),TRUE)</f>
        <v>1</v>
      </c>
      <c r="W51" s="45" t="b">
        <f>IFERROR(__xludf.DUMMYFUNCTION("""COMPUTED_VALUE"""),FALSE)</f>
        <v>0</v>
      </c>
      <c r="X51" s="45" t="b">
        <f>IFERROR(__xludf.DUMMYFUNCTION("""COMPUTED_VALUE"""),FALSE)</f>
        <v>0</v>
      </c>
      <c r="Y51" s="45" t="b">
        <f>IFERROR(__xludf.DUMMYFUNCTION("""COMPUTED_VALUE"""),FALSE)</f>
        <v>0</v>
      </c>
      <c r="Z51" s="45" t="b">
        <f>IFERROR(__xludf.DUMMYFUNCTION("""COMPUTED_VALUE"""),FALSE)</f>
        <v>0</v>
      </c>
      <c r="AA51" s="45" t="b">
        <f>IFERROR(__xludf.DUMMYFUNCTION("""COMPUTED_VALUE"""),FALSE)</f>
        <v>0</v>
      </c>
      <c r="AB51" s="45" t="b">
        <f>IFERROR(__xludf.DUMMYFUNCTION("""COMPUTED_VALUE"""),FALSE)</f>
        <v>0</v>
      </c>
      <c r="AC51" s="45" t="b">
        <f>IFERROR(__xludf.DUMMYFUNCTION("""COMPUTED_VALUE"""),FALSE)</f>
        <v>0</v>
      </c>
      <c r="AD51" s="45" t="b">
        <f>IFERROR(__xludf.DUMMYFUNCTION("""COMPUTED_VALUE"""),FALSE)</f>
        <v>0</v>
      </c>
      <c r="AE51" s="45" t="b">
        <f>IFERROR(__xludf.DUMMYFUNCTION("""COMPUTED_VALUE"""),FALSE)</f>
        <v>0</v>
      </c>
      <c r="AF51" s="45" t="b">
        <f>IFERROR(__xludf.DUMMYFUNCTION("""COMPUTED_VALUE"""),FALSE)</f>
        <v>0</v>
      </c>
    </row>
    <row r="52">
      <c r="A52" s="45" t="b">
        <v>0</v>
      </c>
      <c r="B52" s="45" t="str">
        <f>IFERROR(__xludf.DUMMYFUNCTION("""COMPUTED_VALUE"""),"Dung beetle")</f>
        <v>Dung beetle</v>
      </c>
      <c r="C52" s="45">
        <f>IFERROR(__xludf.DUMMYFUNCTION("""COMPUTED_VALUE"""),3000.0)</f>
        <v>3000</v>
      </c>
      <c r="D52" s="45" t="str">
        <f>IFERROR(__xludf.DUMMYFUNCTION("""COMPUTED_VALUE"""),"All day")</f>
        <v>All day</v>
      </c>
      <c r="E52" s="45" t="str">
        <f>IFERROR(__xludf.DUMMYFUNCTION("""COMPUTED_VALUE"""),"Pushing snowballs")</f>
        <v>Pushing snowballs</v>
      </c>
      <c r="F52" s="45"/>
      <c r="G52" s="45"/>
      <c r="H52" s="45" t="b">
        <f>IFERROR(__xludf.DUMMYFUNCTION("""COMPUTED_VALUE"""),TRUE)</f>
        <v>1</v>
      </c>
      <c r="I52" s="45" t="b">
        <f>IFERROR(__xludf.DUMMYFUNCTION("""COMPUTED_VALUE"""),TRUE)</f>
        <v>1</v>
      </c>
      <c r="J52" s="45" t="b">
        <f>IFERROR(__xludf.DUMMYFUNCTION("""COMPUTED_VALUE"""),FALSE)</f>
        <v>0</v>
      </c>
      <c r="K52" s="45" t="b">
        <f>IFERROR(__xludf.DUMMYFUNCTION("""COMPUTED_VALUE"""),FALSE)</f>
        <v>0</v>
      </c>
      <c r="L52" s="45" t="b">
        <f>IFERROR(__xludf.DUMMYFUNCTION("""COMPUTED_VALUE"""),FALSE)</f>
        <v>0</v>
      </c>
      <c r="M52" s="45" t="b">
        <f>IFERROR(__xludf.DUMMYFUNCTION("""COMPUTED_VALUE"""),FALSE)</f>
        <v>0</v>
      </c>
      <c r="N52" s="45" t="b">
        <f>IFERROR(__xludf.DUMMYFUNCTION("""COMPUTED_VALUE"""),FALSE)</f>
        <v>0</v>
      </c>
      <c r="O52" s="45" t="b">
        <f>IFERROR(__xludf.DUMMYFUNCTION("""COMPUTED_VALUE"""),FALSE)</f>
        <v>0</v>
      </c>
      <c r="P52" s="45" t="b">
        <f>IFERROR(__xludf.DUMMYFUNCTION("""COMPUTED_VALUE"""),FALSE)</f>
        <v>0</v>
      </c>
      <c r="Q52" s="45" t="b">
        <f>IFERROR(__xludf.DUMMYFUNCTION("""COMPUTED_VALUE"""),FALSE)</f>
        <v>0</v>
      </c>
      <c r="R52" s="45" t="b">
        <f>IFERROR(__xludf.DUMMYFUNCTION("""COMPUTED_VALUE"""),FALSE)</f>
        <v>0</v>
      </c>
      <c r="S52" s="45" t="b">
        <f>IFERROR(__xludf.DUMMYFUNCTION("""COMPUTED_VALUE"""),TRUE)</f>
        <v>1</v>
      </c>
      <c r="T52" s="45"/>
      <c r="U52" s="45" t="b">
        <f>IFERROR(__xludf.DUMMYFUNCTION("""COMPUTED_VALUE"""),FALSE)</f>
        <v>0</v>
      </c>
      <c r="V52" s="45" t="b">
        <f>IFERROR(__xludf.DUMMYFUNCTION("""COMPUTED_VALUE"""),FALSE)</f>
        <v>0</v>
      </c>
      <c r="W52" s="45" t="b">
        <f>IFERROR(__xludf.DUMMYFUNCTION("""COMPUTED_VALUE"""),FALSE)</f>
        <v>0</v>
      </c>
      <c r="X52" s="45" t="b">
        <f>IFERROR(__xludf.DUMMYFUNCTION("""COMPUTED_VALUE"""),FALSE)</f>
        <v>0</v>
      </c>
      <c r="Y52" s="45" t="b">
        <f>IFERROR(__xludf.DUMMYFUNCTION("""COMPUTED_VALUE"""),FALSE)</f>
        <v>0</v>
      </c>
      <c r="Z52" s="45" t="b">
        <f>IFERROR(__xludf.DUMMYFUNCTION("""COMPUTED_VALUE"""),TRUE)</f>
        <v>1</v>
      </c>
      <c r="AA52" s="45" t="b">
        <f>IFERROR(__xludf.DUMMYFUNCTION("""COMPUTED_VALUE"""),TRUE)</f>
        <v>1</v>
      </c>
      <c r="AB52" s="45" t="b">
        <f>IFERROR(__xludf.DUMMYFUNCTION("""COMPUTED_VALUE"""),TRUE)</f>
        <v>1</v>
      </c>
      <c r="AC52" s="45" t="b">
        <f>IFERROR(__xludf.DUMMYFUNCTION("""COMPUTED_VALUE"""),FALSE)</f>
        <v>0</v>
      </c>
      <c r="AD52" s="45" t="b">
        <f>IFERROR(__xludf.DUMMYFUNCTION("""COMPUTED_VALUE"""),FALSE)</f>
        <v>0</v>
      </c>
      <c r="AE52" s="45" t="b">
        <f>IFERROR(__xludf.DUMMYFUNCTION("""COMPUTED_VALUE"""),FALSE)</f>
        <v>0</v>
      </c>
      <c r="AF52" s="45" t="b">
        <f>IFERROR(__xludf.DUMMYFUNCTION("""COMPUTED_VALUE"""),FALSE)</f>
        <v>0</v>
      </c>
    </row>
    <row r="53">
      <c r="A53" s="45" t="b">
        <v>0</v>
      </c>
      <c r="B53" s="45" t="str">
        <f>IFERROR(__xludf.DUMMYFUNCTION("""COMPUTED_VALUE"""),"Earth-boring dung beetle")</f>
        <v>Earth-boring dung beetle</v>
      </c>
      <c r="C53" s="45">
        <f>IFERROR(__xludf.DUMMYFUNCTION("""COMPUTED_VALUE"""),300.0)</f>
        <v>300</v>
      </c>
      <c r="D53" s="45" t="str">
        <f>IFERROR(__xludf.DUMMYFUNCTION("""COMPUTED_VALUE"""),"All day")</f>
        <v>All day</v>
      </c>
      <c r="E53" s="45" t="str">
        <f>IFERROR(__xludf.DUMMYFUNCTION("""COMPUTED_VALUE"""),"On ground")</f>
        <v>On ground</v>
      </c>
      <c r="F53" s="45"/>
      <c r="G53" s="45"/>
      <c r="H53" s="45" t="b">
        <f>IFERROR(__xludf.DUMMYFUNCTION("""COMPUTED_VALUE"""),FALSE)</f>
        <v>0</v>
      </c>
      <c r="I53" s="45" t="b">
        <f>IFERROR(__xludf.DUMMYFUNCTION("""COMPUTED_VALUE"""),FALSE)</f>
        <v>0</v>
      </c>
      <c r="J53" s="45" t="b">
        <f>IFERROR(__xludf.DUMMYFUNCTION("""COMPUTED_VALUE"""),FALSE)</f>
        <v>0</v>
      </c>
      <c r="K53" s="45" t="b">
        <f>IFERROR(__xludf.DUMMYFUNCTION("""COMPUTED_VALUE"""),FALSE)</f>
        <v>0</v>
      </c>
      <c r="L53" s="45" t="b">
        <f>IFERROR(__xludf.DUMMYFUNCTION("""COMPUTED_VALUE"""),FALSE)</f>
        <v>0</v>
      </c>
      <c r="M53" s="45" t="b">
        <f>IFERROR(__xludf.DUMMYFUNCTION("""COMPUTED_VALUE"""),FALSE)</f>
        <v>0</v>
      </c>
      <c r="N53" s="45" t="b">
        <f>IFERROR(__xludf.DUMMYFUNCTION("""COMPUTED_VALUE"""),TRUE)</f>
        <v>1</v>
      </c>
      <c r="O53" s="45" t="b">
        <f>IFERROR(__xludf.DUMMYFUNCTION("""COMPUTED_VALUE"""),TRUE)</f>
        <v>1</v>
      </c>
      <c r="P53" s="45" t="b">
        <f>IFERROR(__xludf.DUMMYFUNCTION("""COMPUTED_VALUE"""),TRUE)</f>
        <v>1</v>
      </c>
      <c r="Q53" s="45" t="b">
        <f>IFERROR(__xludf.DUMMYFUNCTION("""COMPUTED_VALUE"""),FALSE)</f>
        <v>0</v>
      </c>
      <c r="R53" s="45" t="b">
        <f>IFERROR(__xludf.DUMMYFUNCTION("""COMPUTED_VALUE"""),FALSE)</f>
        <v>0</v>
      </c>
      <c r="S53" s="45" t="b">
        <f>IFERROR(__xludf.DUMMYFUNCTION("""COMPUTED_VALUE"""),FALSE)</f>
        <v>0</v>
      </c>
      <c r="T53" s="45"/>
      <c r="U53" s="45" t="b">
        <f>IFERROR(__xludf.DUMMYFUNCTION("""COMPUTED_VALUE"""),TRUE)</f>
        <v>1</v>
      </c>
      <c r="V53" s="45" t="b">
        <f>IFERROR(__xludf.DUMMYFUNCTION("""COMPUTED_VALUE"""),TRUE)</f>
        <v>1</v>
      </c>
      <c r="W53" s="45" t="b">
        <f>IFERROR(__xludf.DUMMYFUNCTION("""COMPUTED_VALUE"""),TRUE)</f>
        <v>1</v>
      </c>
      <c r="X53" s="45" t="b">
        <f>IFERROR(__xludf.DUMMYFUNCTION("""COMPUTED_VALUE"""),FALSE)</f>
        <v>0</v>
      </c>
      <c r="Y53" s="45" t="b">
        <f>IFERROR(__xludf.DUMMYFUNCTION("""COMPUTED_VALUE"""),FALSE)</f>
        <v>0</v>
      </c>
      <c r="Z53" s="45" t="b">
        <f>IFERROR(__xludf.DUMMYFUNCTION("""COMPUTED_VALUE"""),FALSE)</f>
        <v>0</v>
      </c>
      <c r="AA53" s="45" t="b">
        <f>IFERROR(__xludf.DUMMYFUNCTION("""COMPUTED_VALUE"""),FALSE)</f>
        <v>0</v>
      </c>
      <c r="AB53" s="45" t="b">
        <f>IFERROR(__xludf.DUMMYFUNCTION("""COMPUTED_VALUE"""),FALSE)</f>
        <v>0</v>
      </c>
      <c r="AC53" s="45" t="b">
        <f>IFERROR(__xludf.DUMMYFUNCTION("""COMPUTED_VALUE"""),FALSE)</f>
        <v>0</v>
      </c>
      <c r="AD53" s="45" t="b">
        <f>IFERROR(__xludf.DUMMYFUNCTION("""COMPUTED_VALUE"""),FALSE)</f>
        <v>0</v>
      </c>
      <c r="AE53" s="45" t="b">
        <f>IFERROR(__xludf.DUMMYFUNCTION("""COMPUTED_VALUE"""),FALSE)</f>
        <v>0</v>
      </c>
      <c r="AF53" s="45" t="b">
        <f>IFERROR(__xludf.DUMMYFUNCTION("""COMPUTED_VALUE"""),FALSE)</f>
        <v>0</v>
      </c>
    </row>
    <row r="54">
      <c r="A54" s="45" t="b">
        <v>0</v>
      </c>
      <c r="B54" s="45" t="str">
        <f>IFERROR(__xludf.DUMMYFUNCTION("""COMPUTED_VALUE"""),"Scarab beetle")</f>
        <v>Scarab beetle</v>
      </c>
      <c r="C54" s="45">
        <f>IFERROR(__xludf.DUMMYFUNCTION("""COMPUTED_VALUE"""),10000.0)</f>
        <v>10000</v>
      </c>
      <c r="D54" s="45" t="str">
        <f>IFERROR(__xludf.DUMMYFUNCTION("""COMPUTED_VALUE"""),"11 p.m. - 8 a.m.")</f>
        <v>11 p.m. - 8 a.m.</v>
      </c>
      <c r="E54" s="45" t="str">
        <f>IFERROR(__xludf.DUMMYFUNCTION("""COMPUTED_VALUE"""),"On trees")</f>
        <v>On trees</v>
      </c>
      <c r="F54" s="45"/>
      <c r="G54" s="45"/>
      <c r="H54" s="45" t="b">
        <f>IFERROR(__xludf.DUMMYFUNCTION("""COMPUTED_VALUE"""),FALSE)</f>
        <v>0</v>
      </c>
      <c r="I54" s="45" t="b">
        <f>IFERROR(__xludf.DUMMYFUNCTION("""COMPUTED_VALUE"""),FALSE)</f>
        <v>0</v>
      </c>
      <c r="J54" s="45" t="b">
        <f>IFERROR(__xludf.DUMMYFUNCTION("""COMPUTED_VALUE"""),FALSE)</f>
        <v>0</v>
      </c>
      <c r="K54" s="45" t="b">
        <f>IFERROR(__xludf.DUMMYFUNCTION("""COMPUTED_VALUE"""),FALSE)</f>
        <v>0</v>
      </c>
      <c r="L54" s="45" t="b">
        <f>IFERROR(__xludf.DUMMYFUNCTION("""COMPUTED_VALUE"""),FALSE)</f>
        <v>0</v>
      </c>
      <c r="M54" s="45" t="b">
        <f>IFERROR(__xludf.DUMMYFUNCTION("""COMPUTED_VALUE"""),FALSE)</f>
        <v>0</v>
      </c>
      <c r="N54" s="45" t="b">
        <f>IFERROR(__xludf.DUMMYFUNCTION("""COMPUTED_VALUE"""),TRUE)</f>
        <v>1</v>
      </c>
      <c r="O54" s="45" t="b">
        <f>IFERROR(__xludf.DUMMYFUNCTION("""COMPUTED_VALUE"""),TRUE)</f>
        <v>1</v>
      </c>
      <c r="P54" s="45" t="b">
        <f>IFERROR(__xludf.DUMMYFUNCTION("""COMPUTED_VALUE"""),FALSE)</f>
        <v>0</v>
      </c>
      <c r="Q54" s="45" t="b">
        <f>IFERROR(__xludf.DUMMYFUNCTION("""COMPUTED_VALUE"""),FALSE)</f>
        <v>0</v>
      </c>
      <c r="R54" s="45" t="b">
        <f>IFERROR(__xludf.DUMMYFUNCTION("""COMPUTED_VALUE"""),FALSE)</f>
        <v>0</v>
      </c>
      <c r="S54" s="45" t="b">
        <f>IFERROR(__xludf.DUMMYFUNCTION("""COMPUTED_VALUE"""),FALSE)</f>
        <v>0</v>
      </c>
      <c r="T54" s="45"/>
      <c r="U54" s="45" t="b">
        <f>IFERROR(__xludf.DUMMYFUNCTION("""COMPUTED_VALUE"""),TRUE)</f>
        <v>1</v>
      </c>
      <c r="V54" s="45" t="b">
        <f>IFERROR(__xludf.DUMMYFUNCTION("""COMPUTED_VALUE"""),TRUE)</f>
        <v>1</v>
      </c>
      <c r="W54" s="45" t="b">
        <f>IFERROR(__xludf.DUMMYFUNCTION("""COMPUTED_VALUE"""),FALSE)</f>
        <v>0</v>
      </c>
      <c r="X54" s="45" t="b">
        <f>IFERROR(__xludf.DUMMYFUNCTION("""COMPUTED_VALUE"""),FALSE)</f>
        <v>0</v>
      </c>
      <c r="Y54" s="45" t="b">
        <f>IFERROR(__xludf.DUMMYFUNCTION("""COMPUTED_VALUE"""),FALSE)</f>
        <v>0</v>
      </c>
      <c r="Z54" s="45" t="b">
        <f>IFERROR(__xludf.DUMMYFUNCTION("""COMPUTED_VALUE"""),FALSE)</f>
        <v>0</v>
      </c>
      <c r="AA54" s="45" t="b">
        <f>IFERROR(__xludf.DUMMYFUNCTION("""COMPUTED_VALUE"""),FALSE)</f>
        <v>0</v>
      </c>
      <c r="AB54" s="45" t="b">
        <f>IFERROR(__xludf.DUMMYFUNCTION("""COMPUTED_VALUE"""),FALSE)</f>
        <v>0</v>
      </c>
      <c r="AC54" s="45" t="b">
        <f>IFERROR(__xludf.DUMMYFUNCTION("""COMPUTED_VALUE"""),FALSE)</f>
        <v>0</v>
      </c>
      <c r="AD54" s="45" t="b">
        <f>IFERROR(__xludf.DUMMYFUNCTION("""COMPUTED_VALUE"""),FALSE)</f>
        <v>0</v>
      </c>
      <c r="AE54" s="45" t="b">
        <f>IFERROR(__xludf.DUMMYFUNCTION("""COMPUTED_VALUE"""),FALSE)</f>
        <v>0</v>
      </c>
      <c r="AF54" s="45" t="b">
        <f>IFERROR(__xludf.DUMMYFUNCTION("""COMPUTED_VALUE"""),FALSE)</f>
        <v>0</v>
      </c>
    </row>
    <row r="55">
      <c r="A55" s="45" t="b">
        <v>0</v>
      </c>
      <c r="B55" s="45" t="str">
        <f>IFERROR(__xludf.DUMMYFUNCTION("""COMPUTED_VALUE"""),"Drone beetle")</f>
        <v>Drone beetle</v>
      </c>
      <c r="C55" s="45">
        <f>IFERROR(__xludf.DUMMYFUNCTION("""COMPUTED_VALUE"""),200.0)</f>
        <v>200</v>
      </c>
      <c r="D55" s="45" t="str">
        <f>IFERROR(__xludf.DUMMYFUNCTION("""COMPUTED_VALUE"""),"All day")</f>
        <v>All day</v>
      </c>
      <c r="E55" s="45" t="str">
        <f>IFERROR(__xludf.DUMMYFUNCTION("""COMPUTED_VALUE"""),"On trees")</f>
        <v>On trees</v>
      </c>
      <c r="F55" s="45"/>
      <c r="G55" s="45"/>
      <c r="H55" s="45" t="b">
        <f>IFERROR(__xludf.DUMMYFUNCTION("""COMPUTED_VALUE"""),FALSE)</f>
        <v>0</v>
      </c>
      <c r="I55" s="45" t="b">
        <f>IFERROR(__xludf.DUMMYFUNCTION("""COMPUTED_VALUE"""),FALSE)</f>
        <v>0</v>
      </c>
      <c r="J55" s="45" t="b">
        <f>IFERROR(__xludf.DUMMYFUNCTION("""COMPUTED_VALUE"""),FALSE)</f>
        <v>0</v>
      </c>
      <c r="K55" s="45" t="b">
        <f>IFERROR(__xludf.DUMMYFUNCTION("""COMPUTED_VALUE"""),FALSE)</f>
        <v>0</v>
      </c>
      <c r="L55" s="45" t="b">
        <f>IFERROR(__xludf.DUMMYFUNCTION("""COMPUTED_VALUE"""),FALSE)</f>
        <v>0</v>
      </c>
      <c r="M55" s="45" t="b">
        <f>IFERROR(__xludf.DUMMYFUNCTION("""COMPUTED_VALUE"""),TRUE)</f>
        <v>1</v>
      </c>
      <c r="N55" s="45" t="b">
        <f>IFERROR(__xludf.DUMMYFUNCTION("""COMPUTED_VALUE"""),TRUE)</f>
        <v>1</v>
      </c>
      <c r="O55" s="45" t="b">
        <f>IFERROR(__xludf.DUMMYFUNCTION("""COMPUTED_VALUE"""),TRUE)</f>
        <v>1</v>
      </c>
      <c r="P55" s="45" t="b">
        <f>IFERROR(__xludf.DUMMYFUNCTION("""COMPUTED_VALUE"""),FALSE)</f>
        <v>0</v>
      </c>
      <c r="Q55" s="45" t="b">
        <f>IFERROR(__xludf.DUMMYFUNCTION("""COMPUTED_VALUE"""),FALSE)</f>
        <v>0</v>
      </c>
      <c r="R55" s="45" t="b">
        <f>IFERROR(__xludf.DUMMYFUNCTION("""COMPUTED_VALUE"""),FALSE)</f>
        <v>0</v>
      </c>
      <c r="S55" s="45" t="b">
        <f>IFERROR(__xludf.DUMMYFUNCTION("""COMPUTED_VALUE"""),FALSE)</f>
        <v>0</v>
      </c>
      <c r="T55" s="45"/>
      <c r="U55" s="45" t="b">
        <f>IFERROR(__xludf.DUMMYFUNCTION("""COMPUTED_VALUE"""),TRUE)</f>
        <v>1</v>
      </c>
      <c r="V55" s="45" t="b">
        <f>IFERROR(__xludf.DUMMYFUNCTION("""COMPUTED_VALUE"""),TRUE)</f>
        <v>1</v>
      </c>
      <c r="W55" s="45" t="b">
        <f>IFERROR(__xludf.DUMMYFUNCTION("""COMPUTED_VALUE"""),FALSE)</f>
        <v>0</v>
      </c>
      <c r="X55" s="45" t="b">
        <f>IFERROR(__xludf.DUMMYFUNCTION("""COMPUTED_VALUE"""),FALSE)</f>
        <v>0</v>
      </c>
      <c r="Y55" s="45" t="b">
        <f>IFERROR(__xludf.DUMMYFUNCTION("""COMPUTED_VALUE"""),FALSE)</f>
        <v>0</v>
      </c>
      <c r="Z55" s="45" t="b">
        <f>IFERROR(__xludf.DUMMYFUNCTION("""COMPUTED_VALUE"""),FALSE)</f>
        <v>0</v>
      </c>
      <c r="AA55" s="45" t="b">
        <f>IFERROR(__xludf.DUMMYFUNCTION("""COMPUTED_VALUE"""),FALSE)</f>
        <v>0</v>
      </c>
      <c r="AB55" s="45" t="b">
        <f>IFERROR(__xludf.DUMMYFUNCTION("""COMPUTED_VALUE"""),FALSE)</f>
        <v>0</v>
      </c>
      <c r="AC55" s="45" t="b">
        <f>IFERROR(__xludf.DUMMYFUNCTION("""COMPUTED_VALUE"""),FALSE)</f>
        <v>0</v>
      </c>
      <c r="AD55" s="45" t="b">
        <f>IFERROR(__xludf.DUMMYFUNCTION("""COMPUTED_VALUE"""),FALSE)</f>
        <v>0</v>
      </c>
      <c r="AE55" s="45" t="b">
        <f>IFERROR(__xludf.DUMMYFUNCTION("""COMPUTED_VALUE"""),FALSE)</f>
        <v>0</v>
      </c>
      <c r="AF55" s="45" t="b">
        <f>IFERROR(__xludf.DUMMYFUNCTION("""COMPUTED_VALUE"""),TRUE)</f>
        <v>1</v>
      </c>
    </row>
    <row r="56">
      <c r="A56" s="45" t="b">
        <v>0</v>
      </c>
      <c r="B56" s="45" t="str">
        <f>IFERROR(__xludf.DUMMYFUNCTION("""COMPUTED_VALUE"""),"Goliath beetle")</f>
        <v>Goliath beetle</v>
      </c>
      <c r="C56" s="45">
        <f>IFERROR(__xludf.DUMMYFUNCTION("""COMPUTED_VALUE"""),8000.0)</f>
        <v>8000</v>
      </c>
      <c r="D56" s="45" t="str">
        <f>IFERROR(__xludf.DUMMYFUNCTION("""COMPUTED_VALUE"""),"5 p.m. - 8 a.m.")</f>
        <v>5 p.m. - 8 a.m.</v>
      </c>
      <c r="E56" s="45" t="str">
        <f>IFERROR(__xludf.DUMMYFUNCTION("""COMPUTED_VALUE"""),"On trees (Coconut)")</f>
        <v>On trees (Coconut)</v>
      </c>
      <c r="F56" s="45"/>
      <c r="G56" s="45"/>
      <c r="H56" s="45" t="b">
        <f>IFERROR(__xludf.DUMMYFUNCTION("""COMPUTED_VALUE"""),FALSE)</f>
        <v>0</v>
      </c>
      <c r="I56" s="45" t="b">
        <f>IFERROR(__xludf.DUMMYFUNCTION("""COMPUTED_VALUE"""),FALSE)</f>
        <v>0</v>
      </c>
      <c r="J56" s="45" t="b">
        <f>IFERROR(__xludf.DUMMYFUNCTION("""COMPUTED_VALUE"""),FALSE)</f>
        <v>0</v>
      </c>
      <c r="K56" s="45" t="b">
        <f>IFERROR(__xludf.DUMMYFUNCTION("""COMPUTED_VALUE"""),FALSE)</f>
        <v>0</v>
      </c>
      <c r="L56" s="45" t="b">
        <f>IFERROR(__xludf.DUMMYFUNCTION("""COMPUTED_VALUE"""),FALSE)</f>
        <v>0</v>
      </c>
      <c r="M56" s="45" t="b">
        <f>IFERROR(__xludf.DUMMYFUNCTION("""COMPUTED_VALUE"""),TRUE)</f>
        <v>1</v>
      </c>
      <c r="N56" s="45" t="b">
        <f>IFERROR(__xludf.DUMMYFUNCTION("""COMPUTED_VALUE"""),TRUE)</f>
        <v>1</v>
      </c>
      <c r="O56" s="45" t="b">
        <f>IFERROR(__xludf.DUMMYFUNCTION("""COMPUTED_VALUE"""),TRUE)</f>
        <v>1</v>
      </c>
      <c r="P56" s="45" t="b">
        <f>IFERROR(__xludf.DUMMYFUNCTION("""COMPUTED_VALUE"""),TRUE)</f>
        <v>1</v>
      </c>
      <c r="Q56" s="45" t="b">
        <f>IFERROR(__xludf.DUMMYFUNCTION("""COMPUTED_VALUE"""),FALSE)</f>
        <v>0</v>
      </c>
      <c r="R56" s="45" t="b">
        <f>IFERROR(__xludf.DUMMYFUNCTION("""COMPUTED_VALUE"""),FALSE)</f>
        <v>0</v>
      </c>
      <c r="S56" s="45" t="b">
        <f>IFERROR(__xludf.DUMMYFUNCTION("""COMPUTED_VALUE"""),FALSE)</f>
        <v>0</v>
      </c>
      <c r="T56" s="45"/>
      <c r="U56" s="45" t="b">
        <f>IFERROR(__xludf.DUMMYFUNCTION("""COMPUTED_VALUE"""),TRUE)</f>
        <v>1</v>
      </c>
      <c r="V56" s="45" t="b">
        <f>IFERROR(__xludf.DUMMYFUNCTION("""COMPUTED_VALUE"""),TRUE)</f>
        <v>1</v>
      </c>
      <c r="W56" s="45" t="b">
        <f>IFERROR(__xludf.DUMMYFUNCTION("""COMPUTED_VALUE"""),TRUE)</f>
        <v>1</v>
      </c>
      <c r="X56" s="45" t="b">
        <f>IFERROR(__xludf.DUMMYFUNCTION("""COMPUTED_VALUE"""),FALSE)</f>
        <v>0</v>
      </c>
      <c r="Y56" s="45" t="b">
        <f>IFERROR(__xludf.DUMMYFUNCTION("""COMPUTED_VALUE"""),FALSE)</f>
        <v>0</v>
      </c>
      <c r="Z56" s="45" t="b">
        <f>IFERROR(__xludf.DUMMYFUNCTION("""COMPUTED_VALUE"""),FALSE)</f>
        <v>0</v>
      </c>
      <c r="AA56" s="45" t="b">
        <f>IFERROR(__xludf.DUMMYFUNCTION("""COMPUTED_VALUE"""),FALSE)</f>
        <v>0</v>
      </c>
      <c r="AB56" s="45" t="b">
        <f>IFERROR(__xludf.DUMMYFUNCTION("""COMPUTED_VALUE"""),FALSE)</f>
        <v>0</v>
      </c>
      <c r="AC56" s="45" t="b">
        <f>IFERROR(__xludf.DUMMYFUNCTION("""COMPUTED_VALUE"""),FALSE)</f>
        <v>0</v>
      </c>
      <c r="AD56" s="45" t="b">
        <f>IFERROR(__xludf.DUMMYFUNCTION("""COMPUTED_VALUE"""),FALSE)</f>
        <v>0</v>
      </c>
      <c r="AE56" s="45" t="b">
        <f>IFERROR(__xludf.DUMMYFUNCTION("""COMPUTED_VALUE"""),FALSE)</f>
        <v>0</v>
      </c>
      <c r="AF56" s="45" t="b">
        <f>IFERROR(__xludf.DUMMYFUNCTION("""COMPUTED_VALUE"""),TRUE)</f>
        <v>1</v>
      </c>
    </row>
    <row r="57">
      <c r="A57" s="45" t="b">
        <v>0</v>
      </c>
      <c r="B57" s="45" t="str">
        <f>IFERROR(__xludf.DUMMYFUNCTION("""COMPUTED_VALUE"""),"Saw stag")</f>
        <v>Saw stag</v>
      </c>
      <c r="C57" s="45">
        <f>IFERROR(__xludf.DUMMYFUNCTION("""COMPUTED_VALUE"""),2000.0)</f>
        <v>2000</v>
      </c>
      <c r="D57" s="45" t="str">
        <f>IFERROR(__xludf.DUMMYFUNCTION("""COMPUTED_VALUE"""),"All day")</f>
        <v>All day</v>
      </c>
      <c r="E57" s="45" t="str">
        <f>IFERROR(__xludf.DUMMYFUNCTION("""COMPUTED_VALUE"""),"On trees")</f>
        <v>On trees</v>
      </c>
      <c r="F57" s="45"/>
      <c r="G57" s="45"/>
      <c r="H57" s="45" t="b">
        <f>IFERROR(__xludf.DUMMYFUNCTION("""COMPUTED_VALUE"""),FALSE)</f>
        <v>0</v>
      </c>
      <c r="I57" s="45" t="b">
        <f>IFERROR(__xludf.DUMMYFUNCTION("""COMPUTED_VALUE"""),FALSE)</f>
        <v>0</v>
      </c>
      <c r="J57" s="45" t="b">
        <f>IFERROR(__xludf.DUMMYFUNCTION("""COMPUTED_VALUE"""),FALSE)</f>
        <v>0</v>
      </c>
      <c r="K57" s="45" t="b">
        <f>IFERROR(__xludf.DUMMYFUNCTION("""COMPUTED_VALUE"""),FALSE)</f>
        <v>0</v>
      </c>
      <c r="L57" s="45" t="b">
        <f>IFERROR(__xludf.DUMMYFUNCTION("""COMPUTED_VALUE"""),FALSE)</f>
        <v>0</v>
      </c>
      <c r="M57" s="45" t="b">
        <f>IFERROR(__xludf.DUMMYFUNCTION("""COMPUTED_VALUE"""),FALSE)</f>
        <v>0</v>
      </c>
      <c r="N57" s="45" t="b">
        <f>IFERROR(__xludf.DUMMYFUNCTION("""COMPUTED_VALUE"""),TRUE)</f>
        <v>1</v>
      </c>
      <c r="O57" s="45" t="b">
        <f>IFERROR(__xludf.DUMMYFUNCTION("""COMPUTED_VALUE"""),TRUE)</f>
        <v>1</v>
      </c>
      <c r="P57" s="45" t="b">
        <f>IFERROR(__xludf.DUMMYFUNCTION("""COMPUTED_VALUE"""),FALSE)</f>
        <v>0</v>
      </c>
      <c r="Q57" s="45" t="b">
        <f>IFERROR(__xludf.DUMMYFUNCTION("""COMPUTED_VALUE"""),FALSE)</f>
        <v>0</v>
      </c>
      <c r="R57" s="45" t="b">
        <f>IFERROR(__xludf.DUMMYFUNCTION("""COMPUTED_VALUE"""),FALSE)</f>
        <v>0</v>
      </c>
      <c r="S57" s="45" t="b">
        <f>IFERROR(__xludf.DUMMYFUNCTION("""COMPUTED_VALUE"""),FALSE)</f>
        <v>0</v>
      </c>
      <c r="T57" s="45"/>
      <c r="U57" s="45" t="b">
        <f>IFERROR(__xludf.DUMMYFUNCTION("""COMPUTED_VALUE"""),TRUE)</f>
        <v>1</v>
      </c>
      <c r="V57" s="45" t="b">
        <f>IFERROR(__xludf.DUMMYFUNCTION("""COMPUTED_VALUE"""),TRUE)</f>
        <v>1</v>
      </c>
      <c r="W57" s="45" t="b">
        <f>IFERROR(__xludf.DUMMYFUNCTION("""COMPUTED_VALUE"""),FALSE)</f>
        <v>0</v>
      </c>
      <c r="X57" s="45" t="b">
        <f>IFERROR(__xludf.DUMMYFUNCTION("""COMPUTED_VALUE"""),FALSE)</f>
        <v>0</v>
      </c>
      <c r="Y57" s="45" t="b">
        <f>IFERROR(__xludf.DUMMYFUNCTION("""COMPUTED_VALUE"""),FALSE)</f>
        <v>0</v>
      </c>
      <c r="Z57" s="45" t="b">
        <f>IFERROR(__xludf.DUMMYFUNCTION("""COMPUTED_VALUE"""),FALSE)</f>
        <v>0</v>
      </c>
      <c r="AA57" s="45" t="b">
        <f>IFERROR(__xludf.DUMMYFUNCTION("""COMPUTED_VALUE"""),FALSE)</f>
        <v>0</v>
      </c>
      <c r="AB57" s="45" t="b">
        <f>IFERROR(__xludf.DUMMYFUNCTION("""COMPUTED_VALUE"""),FALSE)</f>
        <v>0</v>
      </c>
      <c r="AC57" s="45" t="b">
        <f>IFERROR(__xludf.DUMMYFUNCTION("""COMPUTED_VALUE"""),FALSE)</f>
        <v>0</v>
      </c>
      <c r="AD57" s="45" t="b">
        <f>IFERROR(__xludf.DUMMYFUNCTION("""COMPUTED_VALUE"""),FALSE)</f>
        <v>0</v>
      </c>
      <c r="AE57" s="45" t="b">
        <f>IFERROR(__xludf.DUMMYFUNCTION("""COMPUTED_VALUE"""),FALSE)</f>
        <v>0</v>
      </c>
      <c r="AF57" s="45" t="b">
        <f>IFERROR(__xludf.DUMMYFUNCTION("""COMPUTED_VALUE"""),FALSE)</f>
        <v>0</v>
      </c>
    </row>
    <row r="58">
      <c r="A58" s="45" t="b">
        <v>0</v>
      </c>
      <c r="B58" s="45" t="str">
        <f>IFERROR(__xludf.DUMMYFUNCTION("""COMPUTED_VALUE"""),"Miyama stag")</f>
        <v>Miyama stag</v>
      </c>
      <c r="C58" s="45">
        <f>IFERROR(__xludf.DUMMYFUNCTION("""COMPUTED_VALUE"""),1000.0)</f>
        <v>1000</v>
      </c>
      <c r="D58" s="45" t="str">
        <f>IFERROR(__xludf.DUMMYFUNCTION("""COMPUTED_VALUE"""),"All day")</f>
        <v>All day</v>
      </c>
      <c r="E58" s="45" t="str">
        <f>IFERROR(__xludf.DUMMYFUNCTION("""COMPUTED_VALUE"""),"On trees")</f>
        <v>On trees</v>
      </c>
      <c r="F58" s="45"/>
      <c r="G58" s="45"/>
      <c r="H58" s="45" t="b">
        <f>IFERROR(__xludf.DUMMYFUNCTION("""COMPUTED_VALUE"""),FALSE)</f>
        <v>0</v>
      </c>
      <c r="I58" s="45" t="b">
        <f>IFERROR(__xludf.DUMMYFUNCTION("""COMPUTED_VALUE"""),FALSE)</f>
        <v>0</v>
      </c>
      <c r="J58" s="45" t="b">
        <f>IFERROR(__xludf.DUMMYFUNCTION("""COMPUTED_VALUE"""),FALSE)</f>
        <v>0</v>
      </c>
      <c r="K58" s="45" t="b">
        <f>IFERROR(__xludf.DUMMYFUNCTION("""COMPUTED_VALUE"""),FALSE)</f>
        <v>0</v>
      </c>
      <c r="L58" s="45" t="b">
        <f>IFERROR(__xludf.DUMMYFUNCTION("""COMPUTED_VALUE"""),FALSE)</f>
        <v>0</v>
      </c>
      <c r="M58" s="45" t="b">
        <f>IFERROR(__xludf.DUMMYFUNCTION("""COMPUTED_VALUE"""),FALSE)</f>
        <v>0</v>
      </c>
      <c r="N58" s="45" t="b">
        <f>IFERROR(__xludf.DUMMYFUNCTION("""COMPUTED_VALUE"""),TRUE)</f>
        <v>1</v>
      </c>
      <c r="O58" s="45" t="b">
        <f>IFERROR(__xludf.DUMMYFUNCTION("""COMPUTED_VALUE"""),TRUE)</f>
        <v>1</v>
      </c>
      <c r="P58" s="45" t="b">
        <f>IFERROR(__xludf.DUMMYFUNCTION("""COMPUTED_VALUE"""),FALSE)</f>
        <v>0</v>
      </c>
      <c r="Q58" s="45" t="b">
        <f>IFERROR(__xludf.DUMMYFUNCTION("""COMPUTED_VALUE"""),FALSE)</f>
        <v>0</v>
      </c>
      <c r="R58" s="45" t="b">
        <f>IFERROR(__xludf.DUMMYFUNCTION("""COMPUTED_VALUE"""),FALSE)</f>
        <v>0</v>
      </c>
      <c r="S58" s="45" t="b">
        <f>IFERROR(__xludf.DUMMYFUNCTION("""COMPUTED_VALUE"""),FALSE)</f>
        <v>0</v>
      </c>
      <c r="T58" s="45"/>
      <c r="U58" s="45" t="b">
        <f>IFERROR(__xludf.DUMMYFUNCTION("""COMPUTED_VALUE"""),TRUE)</f>
        <v>1</v>
      </c>
      <c r="V58" s="45" t="b">
        <f>IFERROR(__xludf.DUMMYFUNCTION("""COMPUTED_VALUE"""),TRUE)</f>
        <v>1</v>
      </c>
      <c r="W58" s="45" t="b">
        <f>IFERROR(__xludf.DUMMYFUNCTION("""COMPUTED_VALUE"""),FALSE)</f>
        <v>0</v>
      </c>
      <c r="X58" s="45" t="b">
        <f>IFERROR(__xludf.DUMMYFUNCTION("""COMPUTED_VALUE"""),FALSE)</f>
        <v>0</v>
      </c>
      <c r="Y58" s="45" t="b">
        <f>IFERROR(__xludf.DUMMYFUNCTION("""COMPUTED_VALUE"""),FALSE)</f>
        <v>0</v>
      </c>
      <c r="Z58" s="45" t="b">
        <f>IFERROR(__xludf.DUMMYFUNCTION("""COMPUTED_VALUE"""),FALSE)</f>
        <v>0</v>
      </c>
      <c r="AA58" s="45" t="b">
        <f>IFERROR(__xludf.DUMMYFUNCTION("""COMPUTED_VALUE"""),FALSE)</f>
        <v>0</v>
      </c>
      <c r="AB58" s="45" t="b">
        <f>IFERROR(__xludf.DUMMYFUNCTION("""COMPUTED_VALUE"""),FALSE)</f>
        <v>0</v>
      </c>
      <c r="AC58" s="45" t="b">
        <f>IFERROR(__xludf.DUMMYFUNCTION("""COMPUTED_VALUE"""),FALSE)</f>
        <v>0</v>
      </c>
      <c r="AD58" s="45" t="b">
        <f>IFERROR(__xludf.DUMMYFUNCTION("""COMPUTED_VALUE"""),FALSE)</f>
        <v>0</v>
      </c>
      <c r="AE58" s="45" t="b">
        <f>IFERROR(__xludf.DUMMYFUNCTION("""COMPUTED_VALUE"""),FALSE)</f>
        <v>0</v>
      </c>
      <c r="AF58" s="45" t="b">
        <f>IFERROR(__xludf.DUMMYFUNCTION("""COMPUTED_VALUE"""),FALSE)</f>
        <v>0</v>
      </c>
    </row>
    <row r="59">
      <c r="A59" s="45" t="b">
        <v>0</v>
      </c>
      <c r="B59" s="45" t="str">
        <f>IFERROR(__xludf.DUMMYFUNCTION("""COMPUTED_VALUE"""),"Giant stag")</f>
        <v>Giant stag</v>
      </c>
      <c r="C59" s="45">
        <f>IFERROR(__xludf.DUMMYFUNCTION("""COMPUTED_VALUE"""),10000.0)</f>
        <v>10000</v>
      </c>
      <c r="D59" s="45" t="str">
        <f>IFERROR(__xludf.DUMMYFUNCTION("""COMPUTED_VALUE"""),"11 p.m. - 8 a.m.")</f>
        <v>11 p.m. - 8 a.m.</v>
      </c>
      <c r="E59" s="45" t="str">
        <f>IFERROR(__xludf.DUMMYFUNCTION("""COMPUTED_VALUE"""),"On trees")</f>
        <v>On trees</v>
      </c>
      <c r="F59" s="45"/>
      <c r="G59" s="45"/>
      <c r="H59" s="45" t="b">
        <f>IFERROR(__xludf.DUMMYFUNCTION("""COMPUTED_VALUE"""),FALSE)</f>
        <v>0</v>
      </c>
      <c r="I59" s="45" t="b">
        <f>IFERROR(__xludf.DUMMYFUNCTION("""COMPUTED_VALUE"""),FALSE)</f>
        <v>0</v>
      </c>
      <c r="J59" s="45" t="b">
        <f>IFERROR(__xludf.DUMMYFUNCTION("""COMPUTED_VALUE"""),FALSE)</f>
        <v>0</v>
      </c>
      <c r="K59" s="45" t="b">
        <f>IFERROR(__xludf.DUMMYFUNCTION("""COMPUTED_VALUE"""),FALSE)</f>
        <v>0</v>
      </c>
      <c r="L59" s="45" t="b">
        <f>IFERROR(__xludf.DUMMYFUNCTION("""COMPUTED_VALUE"""),FALSE)</f>
        <v>0</v>
      </c>
      <c r="M59" s="45" t="b">
        <f>IFERROR(__xludf.DUMMYFUNCTION("""COMPUTED_VALUE"""),FALSE)</f>
        <v>0</v>
      </c>
      <c r="N59" s="45" t="b">
        <f>IFERROR(__xludf.DUMMYFUNCTION("""COMPUTED_VALUE"""),TRUE)</f>
        <v>1</v>
      </c>
      <c r="O59" s="45" t="b">
        <f>IFERROR(__xludf.DUMMYFUNCTION("""COMPUTED_VALUE"""),TRUE)</f>
        <v>1</v>
      </c>
      <c r="P59" s="45" t="b">
        <f>IFERROR(__xludf.DUMMYFUNCTION("""COMPUTED_VALUE"""),FALSE)</f>
        <v>0</v>
      </c>
      <c r="Q59" s="45" t="b">
        <f>IFERROR(__xludf.DUMMYFUNCTION("""COMPUTED_VALUE"""),FALSE)</f>
        <v>0</v>
      </c>
      <c r="R59" s="45" t="b">
        <f>IFERROR(__xludf.DUMMYFUNCTION("""COMPUTED_VALUE"""),FALSE)</f>
        <v>0</v>
      </c>
      <c r="S59" s="45" t="b">
        <f>IFERROR(__xludf.DUMMYFUNCTION("""COMPUTED_VALUE"""),FALSE)</f>
        <v>0</v>
      </c>
      <c r="T59" s="45"/>
      <c r="U59" s="45" t="b">
        <f>IFERROR(__xludf.DUMMYFUNCTION("""COMPUTED_VALUE"""),TRUE)</f>
        <v>1</v>
      </c>
      <c r="V59" s="45" t="b">
        <f>IFERROR(__xludf.DUMMYFUNCTION("""COMPUTED_VALUE"""),TRUE)</f>
        <v>1</v>
      </c>
      <c r="W59" s="45" t="b">
        <f>IFERROR(__xludf.DUMMYFUNCTION("""COMPUTED_VALUE"""),FALSE)</f>
        <v>0</v>
      </c>
      <c r="X59" s="45" t="b">
        <f>IFERROR(__xludf.DUMMYFUNCTION("""COMPUTED_VALUE"""),FALSE)</f>
        <v>0</v>
      </c>
      <c r="Y59" s="45" t="b">
        <f>IFERROR(__xludf.DUMMYFUNCTION("""COMPUTED_VALUE"""),FALSE)</f>
        <v>0</v>
      </c>
      <c r="Z59" s="45" t="b">
        <f>IFERROR(__xludf.DUMMYFUNCTION("""COMPUTED_VALUE"""),FALSE)</f>
        <v>0</v>
      </c>
      <c r="AA59" s="45" t="b">
        <f>IFERROR(__xludf.DUMMYFUNCTION("""COMPUTED_VALUE"""),FALSE)</f>
        <v>0</v>
      </c>
      <c r="AB59" s="45" t="b">
        <f>IFERROR(__xludf.DUMMYFUNCTION("""COMPUTED_VALUE"""),FALSE)</f>
        <v>0</v>
      </c>
      <c r="AC59" s="45" t="b">
        <f>IFERROR(__xludf.DUMMYFUNCTION("""COMPUTED_VALUE"""),FALSE)</f>
        <v>0</v>
      </c>
      <c r="AD59" s="45" t="b">
        <f>IFERROR(__xludf.DUMMYFUNCTION("""COMPUTED_VALUE"""),FALSE)</f>
        <v>0</v>
      </c>
      <c r="AE59" s="45" t="b">
        <f>IFERROR(__xludf.DUMMYFUNCTION("""COMPUTED_VALUE"""),FALSE)</f>
        <v>0</v>
      </c>
      <c r="AF59" s="45" t="b">
        <f>IFERROR(__xludf.DUMMYFUNCTION("""COMPUTED_VALUE"""),FALSE)</f>
        <v>0</v>
      </c>
    </row>
    <row r="60">
      <c r="A60" s="45" t="b">
        <v>0</v>
      </c>
      <c r="B60" s="45" t="str">
        <f>IFERROR(__xludf.DUMMYFUNCTION("""COMPUTED_VALUE"""),"Rainbow stag")</f>
        <v>Rainbow stag</v>
      </c>
      <c r="C60" s="45">
        <f>IFERROR(__xludf.DUMMYFUNCTION("""COMPUTED_VALUE"""),6000.0)</f>
        <v>6000</v>
      </c>
      <c r="D60" s="45" t="str">
        <f>IFERROR(__xludf.DUMMYFUNCTION("""COMPUTED_VALUE"""),"7 p.m. - 8 a.m.")</f>
        <v>7 p.m. - 8 a.m.</v>
      </c>
      <c r="E60" s="45" t="str">
        <f>IFERROR(__xludf.DUMMYFUNCTION("""COMPUTED_VALUE"""),"On trees")</f>
        <v>On trees</v>
      </c>
      <c r="F60" s="45"/>
      <c r="G60" s="45"/>
      <c r="H60" s="45" t="b">
        <f>IFERROR(__xludf.DUMMYFUNCTION("""COMPUTED_VALUE"""),FALSE)</f>
        <v>0</v>
      </c>
      <c r="I60" s="45" t="b">
        <f>IFERROR(__xludf.DUMMYFUNCTION("""COMPUTED_VALUE"""),FALSE)</f>
        <v>0</v>
      </c>
      <c r="J60" s="45" t="b">
        <f>IFERROR(__xludf.DUMMYFUNCTION("""COMPUTED_VALUE"""),FALSE)</f>
        <v>0</v>
      </c>
      <c r="K60" s="45" t="b">
        <f>IFERROR(__xludf.DUMMYFUNCTION("""COMPUTED_VALUE"""),FALSE)</f>
        <v>0</v>
      </c>
      <c r="L60" s="45" t="b">
        <f>IFERROR(__xludf.DUMMYFUNCTION("""COMPUTED_VALUE"""),FALSE)</f>
        <v>0</v>
      </c>
      <c r="M60" s="45" t="b">
        <f>IFERROR(__xludf.DUMMYFUNCTION("""COMPUTED_VALUE"""),TRUE)</f>
        <v>1</v>
      </c>
      <c r="N60" s="45" t="b">
        <f>IFERROR(__xludf.DUMMYFUNCTION("""COMPUTED_VALUE"""),TRUE)</f>
        <v>1</v>
      </c>
      <c r="O60" s="45" t="b">
        <f>IFERROR(__xludf.DUMMYFUNCTION("""COMPUTED_VALUE"""),TRUE)</f>
        <v>1</v>
      </c>
      <c r="P60" s="45" t="b">
        <f>IFERROR(__xludf.DUMMYFUNCTION("""COMPUTED_VALUE"""),TRUE)</f>
        <v>1</v>
      </c>
      <c r="Q60" s="45" t="b">
        <f>IFERROR(__xludf.DUMMYFUNCTION("""COMPUTED_VALUE"""),FALSE)</f>
        <v>0</v>
      </c>
      <c r="R60" s="45" t="b">
        <f>IFERROR(__xludf.DUMMYFUNCTION("""COMPUTED_VALUE"""),FALSE)</f>
        <v>0</v>
      </c>
      <c r="S60" s="45" t="b">
        <f>IFERROR(__xludf.DUMMYFUNCTION("""COMPUTED_VALUE"""),FALSE)</f>
        <v>0</v>
      </c>
      <c r="T60" s="45"/>
      <c r="U60" s="45" t="b">
        <f>IFERROR(__xludf.DUMMYFUNCTION("""COMPUTED_VALUE"""),TRUE)</f>
        <v>1</v>
      </c>
      <c r="V60" s="45" t="b">
        <f>IFERROR(__xludf.DUMMYFUNCTION("""COMPUTED_VALUE"""),TRUE)</f>
        <v>1</v>
      </c>
      <c r="W60" s="45" t="b">
        <f>IFERROR(__xludf.DUMMYFUNCTION("""COMPUTED_VALUE"""),TRUE)</f>
        <v>1</v>
      </c>
      <c r="X60" s="45" t="b">
        <f>IFERROR(__xludf.DUMMYFUNCTION("""COMPUTED_VALUE"""),FALSE)</f>
        <v>0</v>
      </c>
      <c r="Y60" s="45" t="b">
        <f>IFERROR(__xludf.DUMMYFUNCTION("""COMPUTED_VALUE"""),FALSE)</f>
        <v>0</v>
      </c>
      <c r="Z60" s="45" t="b">
        <f>IFERROR(__xludf.DUMMYFUNCTION("""COMPUTED_VALUE"""),FALSE)</f>
        <v>0</v>
      </c>
      <c r="AA60" s="45" t="b">
        <f>IFERROR(__xludf.DUMMYFUNCTION("""COMPUTED_VALUE"""),FALSE)</f>
        <v>0</v>
      </c>
      <c r="AB60" s="45" t="b">
        <f>IFERROR(__xludf.DUMMYFUNCTION("""COMPUTED_VALUE"""),FALSE)</f>
        <v>0</v>
      </c>
      <c r="AC60" s="45" t="b">
        <f>IFERROR(__xludf.DUMMYFUNCTION("""COMPUTED_VALUE"""),FALSE)</f>
        <v>0</v>
      </c>
      <c r="AD60" s="45" t="b">
        <f>IFERROR(__xludf.DUMMYFUNCTION("""COMPUTED_VALUE"""),FALSE)</f>
        <v>0</v>
      </c>
      <c r="AE60" s="45" t="b">
        <f>IFERROR(__xludf.DUMMYFUNCTION("""COMPUTED_VALUE"""),FALSE)</f>
        <v>0</v>
      </c>
      <c r="AF60" s="45" t="b">
        <f>IFERROR(__xludf.DUMMYFUNCTION("""COMPUTED_VALUE"""),TRUE)</f>
        <v>1</v>
      </c>
    </row>
    <row r="61">
      <c r="A61" s="45" t="b">
        <v>0</v>
      </c>
      <c r="B61" s="45" t="str">
        <f>IFERROR(__xludf.DUMMYFUNCTION("""COMPUTED_VALUE"""),"Cyclommatus stag")</f>
        <v>Cyclommatus stag</v>
      </c>
      <c r="C61" s="45">
        <f>IFERROR(__xludf.DUMMYFUNCTION("""COMPUTED_VALUE"""),8000.0)</f>
        <v>8000</v>
      </c>
      <c r="D61" s="45" t="str">
        <f>IFERROR(__xludf.DUMMYFUNCTION("""COMPUTED_VALUE"""),"5 p.m. - 8 a.m.")</f>
        <v>5 p.m. - 8 a.m.</v>
      </c>
      <c r="E61" s="45" t="str">
        <f>IFERROR(__xludf.DUMMYFUNCTION("""COMPUTED_VALUE"""),"On trees (Coconut)")</f>
        <v>On trees (Coconut)</v>
      </c>
      <c r="F61" s="45"/>
      <c r="G61" s="45"/>
      <c r="H61" s="45" t="b">
        <f>IFERROR(__xludf.DUMMYFUNCTION("""COMPUTED_VALUE"""),FALSE)</f>
        <v>0</v>
      </c>
      <c r="I61" s="45" t="b">
        <f>IFERROR(__xludf.DUMMYFUNCTION("""COMPUTED_VALUE"""),FALSE)</f>
        <v>0</v>
      </c>
      <c r="J61" s="45" t="b">
        <f>IFERROR(__xludf.DUMMYFUNCTION("""COMPUTED_VALUE"""),FALSE)</f>
        <v>0</v>
      </c>
      <c r="K61" s="45" t="b">
        <f>IFERROR(__xludf.DUMMYFUNCTION("""COMPUTED_VALUE"""),FALSE)</f>
        <v>0</v>
      </c>
      <c r="L61" s="45" t="b">
        <f>IFERROR(__xludf.DUMMYFUNCTION("""COMPUTED_VALUE"""),FALSE)</f>
        <v>0</v>
      </c>
      <c r="M61" s="45" t="b">
        <f>IFERROR(__xludf.DUMMYFUNCTION("""COMPUTED_VALUE"""),FALSE)</f>
        <v>0</v>
      </c>
      <c r="N61" s="45" t="b">
        <f>IFERROR(__xludf.DUMMYFUNCTION("""COMPUTED_VALUE"""),TRUE)</f>
        <v>1</v>
      </c>
      <c r="O61" s="45" t="b">
        <f>IFERROR(__xludf.DUMMYFUNCTION("""COMPUTED_VALUE"""),TRUE)</f>
        <v>1</v>
      </c>
      <c r="P61" s="45" t="b">
        <f>IFERROR(__xludf.DUMMYFUNCTION("""COMPUTED_VALUE"""),FALSE)</f>
        <v>0</v>
      </c>
      <c r="Q61" s="45" t="b">
        <f>IFERROR(__xludf.DUMMYFUNCTION("""COMPUTED_VALUE"""),FALSE)</f>
        <v>0</v>
      </c>
      <c r="R61" s="45" t="b">
        <f>IFERROR(__xludf.DUMMYFUNCTION("""COMPUTED_VALUE"""),FALSE)</f>
        <v>0</v>
      </c>
      <c r="S61" s="45" t="b">
        <f>IFERROR(__xludf.DUMMYFUNCTION("""COMPUTED_VALUE"""),FALSE)</f>
        <v>0</v>
      </c>
      <c r="T61" s="45"/>
      <c r="U61" s="45" t="b">
        <f>IFERROR(__xludf.DUMMYFUNCTION("""COMPUTED_VALUE"""),TRUE)</f>
        <v>1</v>
      </c>
      <c r="V61" s="45" t="b">
        <f>IFERROR(__xludf.DUMMYFUNCTION("""COMPUTED_VALUE"""),TRUE)</f>
        <v>1</v>
      </c>
      <c r="W61" s="45" t="b">
        <f>IFERROR(__xludf.DUMMYFUNCTION("""COMPUTED_VALUE"""),FALSE)</f>
        <v>0</v>
      </c>
      <c r="X61" s="45" t="b">
        <f>IFERROR(__xludf.DUMMYFUNCTION("""COMPUTED_VALUE"""),FALSE)</f>
        <v>0</v>
      </c>
      <c r="Y61" s="45" t="b">
        <f>IFERROR(__xludf.DUMMYFUNCTION("""COMPUTED_VALUE"""),FALSE)</f>
        <v>0</v>
      </c>
      <c r="Z61" s="45" t="b">
        <f>IFERROR(__xludf.DUMMYFUNCTION("""COMPUTED_VALUE"""),FALSE)</f>
        <v>0</v>
      </c>
      <c r="AA61" s="45" t="b">
        <f>IFERROR(__xludf.DUMMYFUNCTION("""COMPUTED_VALUE"""),FALSE)</f>
        <v>0</v>
      </c>
      <c r="AB61" s="45" t="b">
        <f>IFERROR(__xludf.DUMMYFUNCTION("""COMPUTED_VALUE"""),FALSE)</f>
        <v>0</v>
      </c>
      <c r="AC61" s="45" t="b">
        <f>IFERROR(__xludf.DUMMYFUNCTION("""COMPUTED_VALUE"""),FALSE)</f>
        <v>0</v>
      </c>
      <c r="AD61" s="45" t="b">
        <f>IFERROR(__xludf.DUMMYFUNCTION("""COMPUTED_VALUE"""),FALSE)</f>
        <v>0</v>
      </c>
      <c r="AE61" s="45" t="b">
        <f>IFERROR(__xludf.DUMMYFUNCTION("""COMPUTED_VALUE"""),FALSE)</f>
        <v>0</v>
      </c>
      <c r="AF61" s="45" t="b">
        <f>IFERROR(__xludf.DUMMYFUNCTION("""COMPUTED_VALUE"""),FALSE)</f>
        <v>0</v>
      </c>
    </row>
    <row r="62">
      <c r="A62" s="45" t="b">
        <v>0</v>
      </c>
      <c r="B62" s="45" t="str">
        <f>IFERROR(__xludf.DUMMYFUNCTION("""COMPUTED_VALUE"""),"Golden stag")</f>
        <v>Golden stag</v>
      </c>
      <c r="C62" s="45">
        <f>IFERROR(__xludf.DUMMYFUNCTION("""COMPUTED_VALUE"""),12000.0)</f>
        <v>12000</v>
      </c>
      <c r="D62" s="45" t="str">
        <f>IFERROR(__xludf.DUMMYFUNCTION("""COMPUTED_VALUE"""),"5 p.m. - 8 a.m.")</f>
        <v>5 p.m. - 8 a.m.</v>
      </c>
      <c r="E62" s="45" t="str">
        <f>IFERROR(__xludf.DUMMYFUNCTION("""COMPUTED_VALUE"""),"On trees (Coconut)")</f>
        <v>On trees (Coconut)</v>
      </c>
      <c r="F62" s="45"/>
      <c r="G62" s="45"/>
      <c r="H62" s="45" t="b">
        <f>IFERROR(__xludf.DUMMYFUNCTION("""COMPUTED_VALUE"""),FALSE)</f>
        <v>0</v>
      </c>
      <c r="I62" s="45" t="b">
        <f>IFERROR(__xludf.DUMMYFUNCTION("""COMPUTED_VALUE"""),FALSE)</f>
        <v>0</v>
      </c>
      <c r="J62" s="45" t="b">
        <f>IFERROR(__xludf.DUMMYFUNCTION("""COMPUTED_VALUE"""),FALSE)</f>
        <v>0</v>
      </c>
      <c r="K62" s="45" t="b">
        <f>IFERROR(__xludf.DUMMYFUNCTION("""COMPUTED_VALUE"""),FALSE)</f>
        <v>0</v>
      </c>
      <c r="L62" s="45" t="b">
        <f>IFERROR(__xludf.DUMMYFUNCTION("""COMPUTED_VALUE"""),FALSE)</f>
        <v>0</v>
      </c>
      <c r="M62" s="45" t="b">
        <f>IFERROR(__xludf.DUMMYFUNCTION("""COMPUTED_VALUE"""),FALSE)</f>
        <v>0</v>
      </c>
      <c r="N62" s="45" t="b">
        <f>IFERROR(__xludf.DUMMYFUNCTION("""COMPUTED_VALUE"""),TRUE)</f>
        <v>1</v>
      </c>
      <c r="O62" s="45" t="b">
        <f>IFERROR(__xludf.DUMMYFUNCTION("""COMPUTED_VALUE"""),TRUE)</f>
        <v>1</v>
      </c>
      <c r="P62" s="45" t="b">
        <f>IFERROR(__xludf.DUMMYFUNCTION("""COMPUTED_VALUE"""),FALSE)</f>
        <v>0</v>
      </c>
      <c r="Q62" s="45" t="b">
        <f>IFERROR(__xludf.DUMMYFUNCTION("""COMPUTED_VALUE"""),FALSE)</f>
        <v>0</v>
      </c>
      <c r="R62" s="45" t="b">
        <f>IFERROR(__xludf.DUMMYFUNCTION("""COMPUTED_VALUE"""),FALSE)</f>
        <v>0</v>
      </c>
      <c r="S62" s="45" t="b">
        <f>IFERROR(__xludf.DUMMYFUNCTION("""COMPUTED_VALUE"""),FALSE)</f>
        <v>0</v>
      </c>
      <c r="T62" s="45"/>
      <c r="U62" s="45" t="b">
        <f>IFERROR(__xludf.DUMMYFUNCTION("""COMPUTED_VALUE"""),TRUE)</f>
        <v>1</v>
      </c>
      <c r="V62" s="45" t="b">
        <f>IFERROR(__xludf.DUMMYFUNCTION("""COMPUTED_VALUE"""),TRUE)</f>
        <v>1</v>
      </c>
      <c r="W62" s="45" t="b">
        <f>IFERROR(__xludf.DUMMYFUNCTION("""COMPUTED_VALUE"""),FALSE)</f>
        <v>0</v>
      </c>
      <c r="X62" s="45" t="b">
        <f>IFERROR(__xludf.DUMMYFUNCTION("""COMPUTED_VALUE"""),FALSE)</f>
        <v>0</v>
      </c>
      <c r="Y62" s="45" t="b">
        <f>IFERROR(__xludf.DUMMYFUNCTION("""COMPUTED_VALUE"""),FALSE)</f>
        <v>0</v>
      </c>
      <c r="Z62" s="45" t="b">
        <f>IFERROR(__xludf.DUMMYFUNCTION("""COMPUTED_VALUE"""),FALSE)</f>
        <v>0</v>
      </c>
      <c r="AA62" s="45" t="b">
        <f>IFERROR(__xludf.DUMMYFUNCTION("""COMPUTED_VALUE"""),FALSE)</f>
        <v>0</v>
      </c>
      <c r="AB62" s="45" t="b">
        <f>IFERROR(__xludf.DUMMYFUNCTION("""COMPUTED_VALUE"""),FALSE)</f>
        <v>0</v>
      </c>
      <c r="AC62" s="45" t="b">
        <f>IFERROR(__xludf.DUMMYFUNCTION("""COMPUTED_VALUE"""),FALSE)</f>
        <v>0</v>
      </c>
      <c r="AD62" s="45" t="b">
        <f>IFERROR(__xludf.DUMMYFUNCTION("""COMPUTED_VALUE"""),FALSE)</f>
        <v>0</v>
      </c>
      <c r="AE62" s="45" t="b">
        <f>IFERROR(__xludf.DUMMYFUNCTION("""COMPUTED_VALUE"""),FALSE)</f>
        <v>0</v>
      </c>
      <c r="AF62" s="45" t="b">
        <f>IFERROR(__xludf.DUMMYFUNCTION("""COMPUTED_VALUE"""),FALSE)</f>
        <v>0</v>
      </c>
    </row>
    <row r="63">
      <c r="A63" s="45" t="b">
        <v>0</v>
      </c>
      <c r="B63" s="45" t="str">
        <f>IFERROR(__xludf.DUMMYFUNCTION("""COMPUTED_VALUE"""),"Giraffe stag")</f>
        <v>Giraffe stag</v>
      </c>
      <c r="C63" s="45">
        <f>IFERROR(__xludf.DUMMYFUNCTION("""COMPUTED_VALUE"""),12000.0)</f>
        <v>12000</v>
      </c>
      <c r="D63" s="45" t="str">
        <f>IFERROR(__xludf.DUMMYFUNCTION("""COMPUTED_VALUE"""),"5 p.m. - 8 a.m.")</f>
        <v>5 p.m. - 8 a.m.</v>
      </c>
      <c r="E63" s="45" t="str">
        <f>IFERROR(__xludf.DUMMYFUNCTION("""COMPUTED_VALUE"""),"On trees (Coconut)")</f>
        <v>On trees (Coconut)</v>
      </c>
      <c r="F63" s="45"/>
      <c r="G63" s="45"/>
      <c r="H63" s="45" t="b">
        <f>IFERROR(__xludf.DUMMYFUNCTION("""COMPUTED_VALUE"""),FALSE)</f>
        <v>0</v>
      </c>
      <c r="I63" s="45" t="b">
        <f>IFERROR(__xludf.DUMMYFUNCTION("""COMPUTED_VALUE"""),FALSE)</f>
        <v>0</v>
      </c>
      <c r="J63" s="45" t="b">
        <f>IFERROR(__xludf.DUMMYFUNCTION("""COMPUTED_VALUE"""),FALSE)</f>
        <v>0</v>
      </c>
      <c r="K63" s="45" t="b">
        <f>IFERROR(__xludf.DUMMYFUNCTION("""COMPUTED_VALUE"""),FALSE)</f>
        <v>0</v>
      </c>
      <c r="L63" s="45" t="b">
        <f>IFERROR(__xludf.DUMMYFUNCTION("""COMPUTED_VALUE"""),FALSE)</f>
        <v>0</v>
      </c>
      <c r="M63" s="45" t="b">
        <f>IFERROR(__xludf.DUMMYFUNCTION("""COMPUTED_VALUE"""),FALSE)</f>
        <v>0</v>
      </c>
      <c r="N63" s="45" t="b">
        <f>IFERROR(__xludf.DUMMYFUNCTION("""COMPUTED_VALUE"""),TRUE)</f>
        <v>1</v>
      </c>
      <c r="O63" s="45" t="b">
        <f>IFERROR(__xludf.DUMMYFUNCTION("""COMPUTED_VALUE"""),TRUE)</f>
        <v>1</v>
      </c>
      <c r="P63" s="45" t="b">
        <f>IFERROR(__xludf.DUMMYFUNCTION("""COMPUTED_VALUE"""),FALSE)</f>
        <v>0</v>
      </c>
      <c r="Q63" s="45" t="b">
        <f>IFERROR(__xludf.DUMMYFUNCTION("""COMPUTED_VALUE"""),FALSE)</f>
        <v>0</v>
      </c>
      <c r="R63" s="45" t="b">
        <f>IFERROR(__xludf.DUMMYFUNCTION("""COMPUTED_VALUE"""),FALSE)</f>
        <v>0</v>
      </c>
      <c r="S63" s="45" t="b">
        <f>IFERROR(__xludf.DUMMYFUNCTION("""COMPUTED_VALUE"""),FALSE)</f>
        <v>0</v>
      </c>
      <c r="T63" s="45"/>
      <c r="U63" s="45" t="b">
        <f>IFERROR(__xludf.DUMMYFUNCTION("""COMPUTED_VALUE"""),TRUE)</f>
        <v>1</v>
      </c>
      <c r="V63" s="45" t="b">
        <f>IFERROR(__xludf.DUMMYFUNCTION("""COMPUTED_VALUE"""),TRUE)</f>
        <v>1</v>
      </c>
      <c r="W63" s="45" t="b">
        <f>IFERROR(__xludf.DUMMYFUNCTION("""COMPUTED_VALUE"""),FALSE)</f>
        <v>0</v>
      </c>
      <c r="X63" s="45" t="b">
        <f>IFERROR(__xludf.DUMMYFUNCTION("""COMPUTED_VALUE"""),FALSE)</f>
        <v>0</v>
      </c>
      <c r="Y63" s="45" t="b">
        <f>IFERROR(__xludf.DUMMYFUNCTION("""COMPUTED_VALUE"""),FALSE)</f>
        <v>0</v>
      </c>
      <c r="Z63" s="45" t="b">
        <f>IFERROR(__xludf.DUMMYFUNCTION("""COMPUTED_VALUE"""),FALSE)</f>
        <v>0</v>
      </c>
      <c r="AA63" s="45" t="b">
        <f>IFERROR(__xludf.DUMMYFUNCTION("""COMPUTED_VALUE"""),FALSE)</f>
        <v>0</v>
      </c>
      <c r="AB63" s="45" t="b">
        <f>IFERROR(__xludf.DUMMYFUNCTION("""COMPUTED_VALUE"""),FALSE)</f>
        <v>0</v>
      </c>
      <c r="AC63" s="45" t="b">
        <f>IFERROR(__xludf.DUMMYFUNCTION("""COMPUTED_VALUE"""),FALSE)</f>
        <v>0</v>
      </c>
      <c r="AD63" s="45" t="b">
        <f>IFERROR(__xludf.DUMMYFUNCTION("""COMPUTED_VALUE"""),FALSE)</f>
        <v>0</v>
      </c>
      <c r="AE63" s="45" t="b">
        <f>IFERROR(__xludf.DUMMYFUNCTION("""COMPUTED_VALUE"""),FALSE)</f>
        <v>0</v>
      </c>
      <c r="AF63" s="45" t="b">
        <f>IFERROR(__xludf.DUMMYFUNCTION("""COMPUTED_VALUE"""),FALSE)</f>
        <v>0</v>
      </c>
    </row>
    <row r="64">
      <c r="A64" s="45" t="b">
        <v>0</v>
      </c>
      <c r="B64" s="45" t="str">
        <f>IFERROR(__xludf.DUMMYFUNCTION("""COMPUTED_VALUE"""),"Horned dynastid")</f>
        <v>Horned dynastid</v>
      </c>
      <c r="C64" s="45">
        <f>IFERROR(__xludf.DUMMYFUNCTION("""COMPUTED_VALUE"""),1350.0)</f>
        <v>1350</v>
      </c>
      <c r="D64" s="45" t="str">
        <f>IFERROR(__xludf.DUMMYFUNCTION("""COMPUTED_VALUE"""),"5 p.m. - 8 a.m.")</f>
        <v>5 p.m. - 8 a.m.</v>
      </c>
      <c r="E64" s="45" t="str">
        <f>IFERROR(__xludf.DUMMYFUNCTION("""COMPUTED_VALUE"""),"On trees")</f>
        <v>On trees</v>
      </c>
      <c r="F64" s="45"/>
      <c r="G64" s="45"/>
      <c r="H64" s="45" t="b">
        <f>IFERROR(__xludf.DUMMYFUNCTION("""COMPUTED_VALUE"""),FALSE)</f>
        <v>0</v>
      </c>
      <c r="I64" s="45" t="b">
        <f>IFERROR(__xludf.DUMMYFUNCTION("""COMPUTED_VALUE"""),FALSE)</f>
        <v>0</v>
      </c>
      <c r="J64" s="45" t="b">
        <f>IFERROR(__xludf.DUMMYFUNCTION("""COMPUTED_VALUE"""),FALSE)</f>
        <v>0</v>
      </c>
      <c r="K64" s="45" t="b">
        <f>IFERROR(__xludf.DUMMYFUNCTION("""COMPUTED_VALUE"""),FALSE)</f>
        <v>0</v>
      </c>
      <c r="L64" s="45" t="b">
        <f>IFERROR(__xludf.DUMMYFUNCTION("""COMPUTED_VALUE"""),FALSE)</f>
        <v>0</v>
      </c>
      <c r="M64" s="45" t="b">
        <f>IFERROR(__xludf.DUMMYFUNCTION("""COMPUTED_VALUE"""),FALSE)</f>
        <v>0</v>
      </c>
      <c r="N64" s="45" t="b">
        <f>IFERROR(__xludf.DUMMYFUNCTION("""COMPUTED_VALUE"""),TRUE)</f>
        <v>1</v>
      </c>
      <c r="O64" s="45" t="b">
        <f>IFERROR(__xludf.DUMMYFUNCTION("""COMPUTED_VALUE"""),TRUE)</f>
        <v>1</v>
      </c>
      <c r="P64" s="45" t="b">
        <f>IFERROR(__xludf.DUMMYFUNCTION("""COMPUTED_VALUE"""),FALSE)</f>
        <v>0</v>
      </c>
      <c r="Q64" s="45" t="b">
        <f>IFERROR(__xludf.DUMMYFUNCTION("""COMPUTED_VALUE"""),FALSE)</f>
        <v>0</v>
      </c>
      <c r="R64" s="45" t="b">
        <f>IFERROR(__xludf.DUMMYFUNCTION("""COMPUTED_VALUE"""),FALSE)</f>
        <v>0</v>
      </c>
      <c r="S64" s="45" t="b">
        <f>IFERROR(__xludf.DUMMYFUNCTION("""COMPUTED_VALUE"""),FALSE)</f>
        <v>0</v>
      </c>
      <c r="T64" s="45"/>
      <c r="U64" s="45" t="b">
        <f>IFERROR(__xludf.DUMMYFUNCTION("""COMPUTED_VALUE"""),TRUE)</f>
        <v>1</v>
      </c>
      <c r="V64" s="45" t="b">
        <f>IFERROR(__xludf.DUMMYFUNCTION("""COMPUTED_VALUE"""),TRUE)</f>
        <v>1</v>
      </c>
      <c r="W64" s="45" t="b">
        <f>IFERROR(__xludf.DUMMYFUNCTION("""COMPUTED_VALUE"""),FALSE)</f>
        <v>0</v>
      </c>
      <c r="X64" s="45" t="b">
        <f>IFERROR(__xludf.DUMMYFUNCTION("""COMPUTED_VALUE"""),FALSE)</f>
        <v>0</v>
      </c>
      <c r="Y64" s="45" t="b">
        <f>IFERROR(__xludf.DUMMYFUNCTION("""COMPUTED_VALUE"""),FALSE)</f>
        <v>0</v>
      </c>
      <c r="Z64" s="45" t="b">
        <f>IFERROR(__xludf.DUMMYFUNCTION("""COMPUTED_VALUE"""),FALSE)</f>
        <v>0</v>
      </c>
      <c r="AA64" s="45" t="b">
        <f>IFERROR(__xludf.DUMMYFUNCTION("""COMPUTED_VALUE"""),FALSE)</f>
        <v>0</v>
      </c>
      <c r="AB64" s="45" t="b">
        <f>IFERROR(__xludf.DUMMYFUNCTION("""COMPUTED_VALUE"""),FALSE)</f>
        <v>0</v>
      </c>
      <c r="AC64" s="45" t="b">
        <f>IFERROR(__xludf.DUMMYFUNCTION("""COMPUTED_VALUE"""),FALSE)</f>
        <v>0</v>
      </c>
      <c r="AD64" s="45" t="b">
        <f>IFERROR(__xludf.DUMMYFUNCTION("""COMPUTED_VALUE"""),FALSE)</f>
        <v>0</v>
      </c>
      <c r="AE64" s="45" t="b">
        <f>IFERROR(__xludf.DUMMYFUNCTION("""COMPUTED_VALUE"""),FALSE)</f>
        <v>0</v>
      </c>
      <c r="AF64" s="45" t="b">
        <f>IFERROR(__xludf.DUMMYFUNCTION("""COMPUTED_VALUE"""),FALSE)</f>
        <v>0</v>
      </c>
    </row>
    <row r="65">
      <c r="A65" s="45" t="b">
        <v>0</v>
      </c>
      <c r="B65" s="45" t="str">
        <f>IFERROR(__xludf.DUMMYFUNCTION("""COMPUTED_VALUE"""),"Horned atlas")</f>
        <v>Horned atlas</v>
      </c>
      <c r="C65" s="45">
        <f>IFERROR(__xludf.DUMMYFUNCTION("""COMPUTED_VALUE"""),8000.0)</f>
        <v>8000</v>
      </c>
      <c r="D65" s="45" t="str">
        <f>IFERROR(__xludf.DUMMYFUNCTION("""COMPUTED_VALUE"""),"5 p.m. - 8 a.m.")</f>
        <v>5 p.m. - 8 a.m.</v>
      </c>
      <c r="E65" s="45" t="str">
        <f>IFERROR(__xludf.DUMMYFUNCTION("""COMPUTED_VALUE"""),"On trees (Coconut)")</f>
        <v>On trees (Coconut)</v>
      </c>
      <c r="F65" s="45"/>
      <c r="G65" s="45"/>
      <c r="H65" s="45" t="b">
        <f>IFERROR(__xludf.DUMMYFUNCTION("""COMPUTED_VALUE"""),FALSE)</f>
        <v>0</v>
      </c>
      <c r="I65" s="45" t="b">
        <f>IFERROR(__xludf.DUMMYFUNCTION("""COMPUTED_VALUE"""),FALSE)</f>
        <v>0</v>
      </c>
      <c r="J65" s="45" t="b">
        <f>IFERROR(__xludf.DUMMYFUNCTION("""COMPUTED_VALUE"""),FALSE)</f>
        <v>0</v>
      </c>
      <c r="K65" s="45" t="b">
        <f>IFERROR(__xludf.DUMMYFUNCTION("""COMPUTED_VALUE"""),FALSE)</f>
        <v>0</v>
      </c>
      <c r="L65" s="45" t="b">
        <f>IFERROR(__xludf.DUMMYFUNCTION("""COMPUTED_VALUE"""),FALSE)</f>
        <v>0</v>
      </c>
      <c r="M65" s="45" t="b">
        <f>IFERROR(__xludf.DUMMYFUNCTION("""COMPUTED_VALUE"""),FALSE)</f>
        <v>0</v>
      </c>
      <c r="N65" s="45" t="b">
        <f>IFERROR(__xludf.DUMMYFUNCTION("""COMPUTED_VALUE"""),TRUE)</f>
        <v>1</v>
      </c>
      <c r="O65" s="45" t="b">
        <f>IFERROR(__xludf.DUMMYFUNCTION("""COMPUTED_VALUE"""),TRUE)</f>
        <v>1</v>
      </c>
      <c r="P65" s="45" t="b">
        <f>IFERROR(__xludf.DUMMYFUNCTION("""COMPUTED_VALUE"""),FALSE)</f>
        <v>0</v>
      </c>
      <c r="Q65" s="45" t="b">
        <f>IFERROR(__xludf.DUMMYFUNCTION("""COMPUTED_VALUE"""),FALSE)</f>
        <v>0</v>
      </c>
      <c r="R65" s="45" t="b">
        <f>IFERROR(__xludf.DUMMYFUNCTION("""COMPUTED_VALUE"""),FALSE)</f>
        <v>0</v>
      </c>
      <c r="S65" s="45" t="b">
        <f>IFERROR(__xludf.DUMMYFUNCTION("""COMPUTED_VALUE"""),FALSE)</f>
        <v>0</v>
      </c>
      <c r="T65" s="45"/>
      <c r="U65" s="45" t="b">
        <f>IFERROR(__xludf.DUMMYFUNCTION("""COMPUTED_VALUE"""),TRUE)</f>
        <v>1</v>
      </c>
      <c r="V65" s="45" t="b">
        <f>IFERROR(__xludf.DUMMYFUNCTION("""COMPUTED_VALUE"""),TRUE)</f>
        <v>1</v>
      </c>
      <c r="W65" s="45" t="b">
        <f>IFERROR(__xludf.DUMMYFUNCTION("""COMPUTED_VALUE"""),FALSE)</f>
        <v>0</v>
      </c>
      <c r="X65" s="45" t="b">
        <f>IFERROR(__xludf.DUMMYFUNCTION("""COMPUTED_VALUE"""),FALSE)</f>
        <v>0</v>
      </c>
      <c r="Y65" s="45" t="b">
        <f>IFERROR(__xludf.DUMMYFUNCTION("""COMPUTED_VALUE"""),FALSE)</f>
        <v>0</v>
      </c>
      <c r="Z65" s="45" t="b">
        <f>IFERROR(__xludf.DUMMYFUNCTION("""COMPUTED_VALUE"""),FALSE)</f>
        <v>0</v>
      </c>
      <c r="AA65" s="45" t="b">
        <f>IFERROR(__xludf.DUMMYFUNCTION("""COMPUTED_VALUE"""),FALSE)</f>
        <v>0</v>
      </c>
      <c r="AB65" s="45" t="b">
        <f>IFERROR(__xludf.DUMMYFUNCTION("""COMPUTED_VALUE"""),FALSE)</f>
        <v>0</v>
      </c>
      <c r="AC65" s="45" t="b">
        <f>IFERROR(__xludf.DUMMYFUNCTION("""COMPUTED_VALUE"""),FALSE)</f>
        <v>0</v>
      </c>
      <c r="AD65" s="45" t="b">
        <f>IFERROR(__xludf.DUMMYFUNCTION("""COMPUTED_VALUE"""),FALSE)</f>
        <v>0</v>
      </c>
      <c r="AE65" s="45" t="b">
        <f>IFERROR(__xludf.DUMMYFUNCTION("""COMPUTED_VALUE"""),FALSE)</f>
        <v>0</v>
      </c>
      <c r="AF65" s="45" t="b">
        <f>IFERROR(__xludf.DUMMYFUNCTION("""COMPUTED_VALUE"""),FALSE)</f>
        <v>0</v>
      </c>
    </row>
    <row r="66">
      <c r="A66" s="45" t="b">
        <v>0</v>
      </c>
      <c r="B66" s="45" t="str">
        <f>IFERROR(__xludf.DUMMYFUNCTION("""COMPUTED_VALUE"""),"Horned elephant")</f>
        <v>Horned elephant</v>
      </c>
      <c r="C66" s="45">
        <f>IFERROR(__xludf.DUMMYFUNCTION("""COMPUTED_VALUE"""),8000.0)</f>
        <v>8000</v>
      </c>
      <c r="D66" s="45" t="str">
        <f>IFERROR(__xludf.DUMMYFUNCTION("""COMPUTED_VALUE"""),"5 p.m. - 8 a.m.")</f>
        <v>5 p.m. - 8 a.m.</v>
      </c>
      <c r="E66" s="45" t="str">
        <f>IFERROR(__xludf.DUMMYFUNCTION("""COMPUTED_VALUE"""),"On trees (Coconut)")</f>
        <v>On trees (Coconut)</v>
      </c>
      <c r="F66" s="45"/>
      <c r="G66" s="45"/>
      <c r="H66" s="45" t="b">
        <f>IFERROR(__xludf.DUMMYFUNCTION("""COMPUTED_VALUE"""),FALSE)</f>
        <v>0</v>
      </c>
      <c r="I66" s="45" t="b">
        <f>IFERROR(__xludf.DUMMYFUNCTION("""COMPUTED_VALUE"""),FALSE)</f>
        <v>0</v>
      </c>
      <c r="J66" s="45" t="b">
        <f>IFERROR(__xludf.DUMMYFUNCTION("""COMPUTED_VALUE"""),FALSE)</f>
        <v>0</v>
      </c>
      <c r="K66" s="45" t="b">
        <f>IFERROR(__xludf.DUMMYFUNCTION("""COMPUTED_VALUE"""),FALSE)</f>
        <v>0</v>
      </c>
      <c r="L66" s="45" t="b">
        <f>IFERROR(__xludf.DUMMYFUNCTION("""COMPUTED_VALUE"""),FALSE)</f>
        <v>0</v>
      </c>
      <c r="M66" s="45" t="b">
        <f>IFERROR(__xludf.DUMMYFUNCTION("""COMPUTED_VALUE"""),FALSE)</f>
        <v>0</v>
      </c>
      <c r="N66" s="45" t="b">
        <f>IFERROR(__xludf.DUMMYFUNCTION("""COMPUTED_VALUE"""),TRUE)</f>
        <v>1</v>
      </c>
      <c r="O66" s="45" t="b">
        <f>IFERROR(__xludf.DUMMYFUNCTION("""COMPUTED_VALUE"""),TRUE)</f>
        <v>1</v>
      </c>
      <c r="P66" s="45" t="b">
        <f>IFERROR(__xludf.DUMMYFUNCTION("""COMPUTED_VALUE"""),FALSE)</f>
        <v>0</v>
      </c>
      <c r="Q66" s="45" t="b">
        <f>IFERROR(__xludf.DUMMYFUNCTION("""COMPUTED_VALUE"""),FALSE)</f>
        <v>0</v>
      </c>
      <c r="R66" s="45" t="b">
        <f>IFERROR(__xludf.DUMMYFUNCTION("""COMPUTED_VALUE"""),FALSE)</f>
        <v>0</v>
      </c>
      <c r="S66" s="45" t="b">
        <f>IFERROR(__xludf.DUMMYFUNCTION("""COMPUTED_VALUE"""),FALSE)</f>
        <v>0</v>
      </c>
      <c r="T66" s="45"/>
      <c r="U66" s="45" t="b">
        <f>IFERROR(__xludf.DUMMYFUNCTION("""COMPUTED_VALUE"""),TRUE)</f>
        <v>1</v>
      </c>
      <c r="V66" s="45" t="b">
        <f>IFERROR(__xludf.DUMMYFUNCTION("""COMPUTED_VALUE"""),TRUE)</f>
        <v>1</v>
      </c>
      <c r="W66" s="45" t="b">
        <f>IFERROR(__xludf.DUMMYFUNCTION("""COMPUTED_VALUE"""),FALSE)</f>
        <v>0</v>
      </c>
      <c r="X66" s="45" t="b">
        <f>IFERROR(__xludf.DUMMYFUNCTION("""COMPUTED_VALUE"""),FALSE)</f>
        <v>0</v>
      </c>
      <c r="Y66" s="45" t="b">
        <f>IFERROR(__xludf.DUMMYFUNCTION("""COMPUTED_VALUE"""),FALSE)</f>
        <v>0</v>
      </c>
      <c r="Z66" s="45" t="b">
        <f>IFERROR(__xludf.DUMMYFUNCTION("""COMPUTED_VALUE"""),FALSE)</f>
        <v>0</v>
      </c>
      <c r="AA66" s="45" t="b">
        <f>IFERROR(__xludf.DUMMYFUNCTION("""COMPUTED_VALUE"""),FALSE)</f>
        <v>0</v>
      </c>
      <c r="AB66" s="45" t="b">
        <f>IFERROR(__xludf.DUMMYFUNCTION("""COMPUTED_VALUE"""),FALSE)</f>
        <v>0</v>
      </c>
      <c r="AC66" s="45" t="b">
        <f>IFERROR(__xludf.DUMMYFUNCTION("""COMPUTED_VALUE"""),FALSE)</f>
        <v>0</v>
      </c>
      <c r="AD66" s="45" t="b">
        <f>IFERROR(__xludf.DUMMYFUNCTION("""COMPUTED_VALUE"""),FALSE)</f>
        <v>0</v>
      </c>
      <c r="AE66" s="45" t="b">
        <f>IFERROR(__xludf.DUMMYFUNCTION("""COMPUTED_VALUE"""),FALSE)</f>
        <v>0</v>
      </c>
      <c r="AF66" s="45" t="b">
        <f>IFERROR(__xludf.DUMMYFUNCTION("""COMPUTED_VALUE"""),FALSE)</f>
        <v>0</v>
      </c>
    </row>
    <row r="67">
      <c r="A67" s="45" t="b">
        <v>0</v>
      </c>
      <c r="B67" s="45" t="str">
        <f>IFERROR(__xludf.DUMMYFUNCTION("""COMPUTED_VALUE"""),"Horned hercules")</f>
        <v>Horned hercules</v>
      </c>
      <c r="C67" s="45">
        <f>IFERROR(__xludf.DUMMYFUNCTION("""COMPUTED_VALUE"""),12000.0)</f>
        <v>12000</v>
      </c>
      <c r="D67" s="45" t="str">
        <f>IFERROR(__xludf.DUMMYFUNCTION("""COMPUTED_VALUE"""),"5 p.m. - 8 a.m.")</f>
        <v>5 p.m. - 8 a.m.</v>
      </c>
      <c r="E67" s="45" t="str">
        <f>IFERROR(__xludf.DUMMYFUNCTION("""COMPUTED_VALUE"""),"On trees (Coconut)")</f>
        <v>On trees (Coconut)</v>
      </c>
      <c r="F67" s="45"/>
      <c r="G67" s="45"/>
      <c r="H67" s="45" t="b">
        <f>IFERROR(__xludf.DUMMYFUNCTION("""COMPUTED_VALUE"""),FALSE)</f>
        <v>0</v>
      </c>
      <c r="I67" s="45" t="b">
        <f>IFERROR(__xludf.DUMMYFUNCTION("""COMPUTED_VALUE"""),FALSE)</f>
        <v>0</v>
      </c>
      <c r="J67" s="45" t="b">
        <f>IFERROR(__xludf.DUMMYFUNCTION("""COMPUTED_VALUE"""),FALSE)</f>
        <v>0</v>
      </c>
      <c r="K67" s="45" t="b">
        <f>IFERROR(__xludf.DUMMYFUNCTION("""COMPUTED_VALUE"""),FALSE)</f>
        <v>0</v>
      </c>
      <c r="L67" s="45" t="b">
        <f>IFERROR(__xludf.DUMMYFUNCTION("""COMPUTED_VALUE"""),FALSE)</f>
        <v>0</v>
      </c>
      <c r="M67" s="45" t="b">
        <f>IFERROR(__xludf.DUMMYFUNCTION("""COMPUTED_VALUE"""),FALSE)</f>
        <v>0</v>
      </c>
      <c r="N67" s="45" t="b">
        <f>IFERROR(__xludf.DUMMYFUNCTION("""COMPUTED_VALUE"""),TRUE)</f>
        <v>1</v>
      </c>
      <c r="O67" s="45" t="b">
        <f>IFERROR(__xludf.DUMMYFUNCTION("""COMPUTED_VALUE"""),TRUE)</f>
        <v>1</v>
      </c>
      <c r="P67" s="45" t="b">
        <f>IFERROR(__xludf.DUMMYFUNCTION("""COMPUTED_VALUE"""),FALSE)</f>
        <v>0</v>
      </c>
      <c r="Q67" s="45" t="b">
        <f>IFERROR(__xludf.DUMMYFUNCTION("""COMPUTED_VALUE"""),FALSE)</f>
        <v>0</v>
      </c>
      <c r="R67" s="45" t="b">
        <f>IFERROR(__xludf.DUMMYFUNCTION("""COMPUTED_VALUE"""),FALSE)</f>
        <v>0</v>
      </c>
      <c r="S67" s="45" t="b">
        <f>IFERROR(__xludf.DUMMYFUNCTION("""COMPUTED_VALUE"""),FALSE)</f>
        <v>0</v>
      </c>
      <c r="T67" s="45"/>
      <c r="U67" s="45" t="b">
        <f>IFERROR(__xludf.DUMMYFUNCTION("""COMPUTED_VALUE"""),TRUE)</f>
        <v>1</v>
      </c>
      <c r="V67" s="45" t="b">
        <f>IFERROR(__xludf.DUMMYFUNCTION("""COMPUTED_VALUE"""),TRUE)</f>
        <v>1</v>
      </c>
      <c r="W67" s="45" t="b">
        <f>IFERROR(__xludf.DUMMYFUNCTION("""COMPUTED_VALUE"""),FALSE)</f>
        <v>0</v>
      </c>
      <c r="X67" s="45" t="b">
        <f>IFERROR(__xludf.DUMMYFUNCTION("""COMPUTED_VALUE"""),FALSE)</f>
        <v>0</v>
      </c>
      <c r="Y67" s="45" t="b">
        <f>IFERROR(__xludf.DUMMYFUNCTION("""COMPUTED_VALUE"""),FALSE)</f>
        <v>0</v>
      </c>
      <c r="Z67" s="45" t="b">
        <f>IFERROR(__xludf.DUMMYFUNCTION("""COMPUTED_VALUE"""),FALSE)</f>
        <v>0</v>
      </c>
      <c r="AA67" s="45" t="b">
        <f>IFERROR(__xludf.DUMMYFUNCTION("""COMPUTED_VALUE"""),FALSE)</f>
        <v>0</v>
      </c>
      <c r="AB67" s="45" t="b">
        <f>IFERROR(__xludf.DUMMYFUNCTION("""COMPUTED_VALUE"""),FALSE)</f>
        <v>0</v>
      </c>
      <c r="AC67" s="45" t="b">
        <f>IFERROR(__xludf.DUMMYFUNCTION("""COMPUTED_VALUE"""),FALSE)</f>
        <v>0</v>
      </c>
      <c r="AD67" s="45" t="b">
        <f>IFERROR(__xludf.DUMMYFUNCTION("""COMPUTED_VALUE"""),FALSE)</f>
        <v>0</v>
      </c>
      <c r="AE67" s="45" t="b">
        <f>IFERROR(__xludf.DUMMYFUNCTION("""COMPUTED_VALUE"""),FALSE)</f>
        <v>0</v>
      </c>
      <c r="AF67" s="45" t="b">
        <f>IFERROR(__xludf.DUMMYFUNCTION("""COMPUTED_VALUE"""),FALSE)</f>
        <v>0</v>
      </c>
    </row>
    <row r="68">
      <c r="A68" s="45" t="b">
        <v>0</v>
      </c>
      <c r="B68" s="45" t="str">
        <f>IFERROR(__xludf.DUMMYFUNCTION("""COMPUTED_VALUE"""),"Walking stick")</f>
        <v>Walking stick</v>
      </c>
      <c r="C68" s="45">
        <f>IFERROR(__xludf.DUMMYFUNCTION("""COMPUTED_VALUE"""),600.0)</f>
        <v>600</v>
      </c>
      <c r="D68" s="45" t="str">
        <f>IFERROR(__xludf.DUMMYFUNCTION("""COMPUTED_VALUE"""),"4 a.m. - 8 a.m., 5 p.m. - 7 p.m.")</f>
        <v>4 a.m. - 8 a.m., 5 p.m. - 7 p.m.</v>
      </c>
      <c r="E68" s="45" t="str">
        <f>IFERROR(__xludf.DUMMYFUNCTION("""COMPUTED_VALUE"""),"On trees")</f>
        <v>On trees</v>
      </c>
      <c r="F68" s="45"/>
      <c r="G68" s="45"/>
      <c r="H68" s="45" t="b">
        <f>IFERROR(__xludf.DUMMYFUNCTION("""COMPUTED_VALUE"""),FALSE)</f>
        <v>0</v>
      </c>
      <c r="I68" s="45" t="b">
        <f>IFERROR(__xludf.DUMMYFUNCTION("""COMPUTED_VALUE"""),FALSE)</f>
        <v>0</v>
      </c>
      <c r="J68" s="45" t="b">
        <f>IFERROR(__xludf.DUMMYFUNCTION("""COMPUTED_VALUE"""),FALSE)</f>
        <v>0</v>
      </c>
      <c r="K68" s="45" t="b">
        <f>IFERROR(__xludf.DUMMYFUNCTION("""COMPUTED_VALUE"""),FALSE)</f>
        <v>0</v>
      </c>
      <c r="L68" s="45" t="b">
        <f>IFERROR(__xludf.DUMMYFUNCTION("""COMPUTED_VALUE"""),FALSE)</f>
        <v>0</v>
      </c>
      <c r="M68" s="45" t="b">
        <f>IFERROR(__xludf.DUMMYFUNCTION("""COMPUTED_VALUE"""),FALSE)</f>
        <v>0</v>
      </c>
      <c r="N68" s="45" t="b">
        <f>IFERROR(__xludf.DUMMYFUNCTION("""COMPUTED_VALUE"""),TRUE)</f>
        <v>1</v>
      </c>
      <c r="O68" s="45" t="b">
        <f>IFERROR(__xludf.DUMMYFUNCTION("""COMPUTED_VALUE"""),TRUE)</f>
        <v>1</v>
      </c>
      <c r="P68" s="45" t="b">
        <f>IFERROR(__xludf.DUMMYFUNCTION("""COMPUTED_VALUE"""),TRUE)</f>
        <v>1</v>
      </c>
      <c r="Q68" s="45" t="b">
        <f>IFERROR(__xludf.DUMMYFUNCTION("""COMPUTED_VALUE"""),TRUE)</f>
        <v>1</v>
      </c>
      <c r="R68" s="45" t="b">
        <f>IFERROR(__xludf.DUMMYFUNCTION("""COMPUTED_VALUE"""),TRUE)</f>
        <v>1</v>
      </c>
      <c r="S68" s="45" t="b">
        <f>IFERROR(__xludf.DUMMYFUNCTION("""COMPUTED_VALUE"""),FALSE)</f>
        <v>0</v>
      </c>
      <c r="T68" s="45"/>
      <c r="U68" s="45" t="b">
        <f>IFERROR(__xludf.DUMMYFUNCTION("""COMPUTED_VALUE"""),TRUE)</f>
        <v>1</v>
      </c>
      <c r="V68" s="45" t="b">
        <f>IFERROR(__xludf.DUMMYFUNCTION("""COMPUTED_VALUE"""),TRUE)</f>
        <v>1</v>
      </c>
      <c r="W68" s="45" t="b">
        <f>IFERROR(__xludf.DUMMYFUNCTION("""COMPUTED_VALUE"""),TRUE)</f>
        <v>1</v>
      </c>
      <c r="X68" s="45" t="b">
        <f>IFERROR(__xludf.DUMMYFUNCTION("""COMPUTED_VALUE"""),TRUE)</f>
        <v>1</v>
      </c>
      <c r="Y68" s="45" t="b">
        <f>IFERROR(__xludf.DUMMYFUNCTION("""COMPUTED_VALUE"""),TRUE)</f>
        <v>1</v>
      </c>
      <c r="Z68" s="45" t="b">
        <f>IFERROR(__xludf.DUMMYFUNCTION("""COMPUTED_VALUE"""),FALSE)</f>
        <v>0</v>
      </c>
      <c r="AA68" s="45" t="b">
        <f>IFERROR(__xludf.DUMMYFUNCTION("""COMPUTED_VALUE"""),FALSE)</f>
        <v>0</v>
      </c>
      <c r="AB68" s="45" t="b">
        <f>IFERROR(__xludf.DUMMYFUNCTION("""COMPUTED_VALUE"""),FALSE)</f>
        <v>0</v>
      </c>
      <c r="AC68" s="45" t="b">
        <f>IFERROR(__xludf.DUMMYFUNCTION("""COMPUTED_VALUE"""),FALSE)</f>
        <v>0</v>
      </c>
      <c r="AD68" s="45" t="b">
        <f>IFERROR(__xludf.DUMMYFUNCTION("""COMPUTED_VALUE"""),FALSE)</f>
        <v>0</v>
      </c>
      <c r="AE68" s="45" t="b">
        <f>IFERROR(__xludf.DUMMYFUNCTION("""COMPUTED_VALUE"""),FALSE)</f>
        <v>0</v>
      </c>
      <c r="AF68" s="45" t="b">
        <f>IFERROR(__xludf.DUMMYFUNCTION("""COMPUTED_VALUE"""),FALSE)</f>
        <v>0</v>
      </c>
    </row>
    <row r="69">
      <c r="A69" s="45" t="b">
        <v>0</v>
      </c>
      <c r="B69" s="45" t="str">
        <f>IFERROR(__xludf.DUMMYFUNCTION("""COMPUTED_VALUE"""),"Walking leaf")</f>
        <v>Walking leaf</v>
      </c>
      <c r="C69" s="45">
        <f>IFERROR(__xludf.DUMMYFUNCTION("""COMPUTED_VALUE"""),600.0)</f>
        <v>600</v>
      </c>
      <c r="D69" s="45" t="str">
        <f>IFERROR(__xludf.DUMMYFUNCTION("""COMPUTED_VALUE"""),"All day")</f>
        <v>All day</v>
      </c>
      <c r="E69" s="45" t="str">
        <f>IFERROR(__xludf.DUMMYFUNCTION("""COMPUTED_VALUE"""),"Near trees, disguised as furniture leaf")</f>
        <v>Near trees, disguised as furniture leaf</v>
      </c>
      <c r="F69" s="45"/>
      <c r="G69" s="45"/>
      <c r="H69" s="45" t="b">
        <f>IFERROR(__xludf.DUMMYFUNCTION("""COMPUTED_VALUE"""),FALSE)</f>
        <v>0</v>
      </c>
      <c r="I69" s="45" t="b">
        <f>IFERROR(__xludf.DUMMYFUNCTION("""COMPUTED_VALUE"""),FALSE)</f>
        <v>0</v>
      </c>
      <c r="J69" s="45" t="b">
        <f>IFERROR(__xludf.DUMMYFUNCTION("""COMPUTED_VALUE"""),FALSE)</f>
        <v>0</v>
      </c>
      <c r="K69" s="45" t="b">
        <f>IFERROR(__xludf.DUMMYFUNCTION("""COMPUTED_VALUE"""),FALSE)</f>
        <v>0</v>
      </c>
      <c r="L69" s="45" t="b">
        <f>IFERROR(__xludf.DUMMYFUNCTION("""COMPUTED_VALUE"""),FALSE)</f>
        <v>0</v>
      </c>
      <c r="M69" s="45" t="b">
        <f>IFERROR(__xludf.DUMMYFUNCTION("""COMPUTED_VALUE"""),FALSE)</f>
        <v>0</v>
      </c>
      <c r="N69" s="45" t="b">
        <f>IFERROR(__xludf.DUMMYFUNCTION("""COMPUTED_VALUE"""),TRUE)</f>
        <v>1</v>
      </c>
      <c r="O69" s="45" t="b">
        <f>IFERROR(__xludf.DUMMYFUNCTION("""COMPUTED_VALUE"""),TRUE)</f>
        <v>1</v>
      </c>
      <c r="P69" s="45" t="b">
        <f>IFERROR(__xludf.DUMMYFUNCTION("""COMPUTED_VALUE"""),TRUE)</f>
        <v>1</v>
      </c>
      <c r="Q69" s="45" t="b">
        <f>IFERROR(__xludf.DUMMYFUNCTION("""COMPUTED_VALUE"""),FALSE)</f>
        <v>0</v>
      </c>
      <c r="R69" s="45" t="b">
        <f>IFERROR(__xludf.DUMMYFUNCTION("""COMPUTED_VALUE"""),FALSE)</f>
        <v>0</v>
      </c>
      <c r="S69" s="45" t="b">
        <f>IFERROR(__xludf.DUMMYFUNCTION("""COMPUTED_VALUE"""),FALSE)</f>
        <v>0</v>
      </c>
      <c r="T69" s="45"/>
      <c r="U69" s="45" t="b">
        <f>IFERROR(__xludf.DUMMYFUNCTION("""COMPUTED_VALUE"""),TRUE)</f>
        <v>1</v>
      </c>
      <c r="V69" s="45" t="b">
        <f>IFERROR(__xludf.DUMMYFUNCTION("""COMPUTED_VALUE"""),TRUE)</f>
        <v>1</v>
      </c>
      <c r="W69" s="45" t="b">
        <f>IFERROR(__xludf.DUMMYFUNCTION("""COMPUTED_VALUE"""),TRUE)</f>
        <v>1</v>
      </c>
      <c r="X69" s="45" t="b">
        <f>IFERROR(__xludf.DUMMYFUNCTION("""COMPUTED_VALUE"""),FALSE)</f>
        <v>0</v>
      </c>
      <c r="Y69" s="45" t="b">
        <f>IFERROR(__xludf.DUMMYFUNCTION("""COMPUTED_VALUE"""),FALSE)</f>
        <v>0</v>
      </c>
      <c r="Z69" s="45" t="b">
        <f>IFERROR(__xludf.DUMMYFUNCTION("""COMPUTED_VALUE"""),FALSE)</f>
        <v>0</v>
      </c>
      <c r="AA69" s="45" t="b">
        <f>IFERROR(__xludf.DUMMYFUNCTION("""COMPUTED_VALUE"""),FALSE)</f>
        <v>0</v>
      </c>
      <c r="AB69" s="45" t="b">
        <f>IFERROR(__xludf.DUMMYFUNCTION("""COMPUTED_VALUE"""),FALSE)</f>
        <v>0</v>
      </c>
      <c r="AC69" s="45" t="b">
        <f>IFERROR(__xludf.DUMMYFUNCTION("""COMPUTED_VALUE"""),FALSE)</f>
        <v>0</v>
      </c>
      <c r="AD69" s="45" t="b">
        <f>IFERROR(__xludf.DUMMYFUNCTION("""COMPUTED_VALUE"""),FALSE)</f>
        <v>0</v>
      </c>
      <c r="AE69" s="45" t="b">
        <f>IFERROR(__xludf.DUMMYFUNCTION("""COMPUTED_VALUE"""),FALSE)</f>
        <v>0</v>
      </c>
      <c r="AF69" s="45" t="b">
        <f>IFERROR(__xludf.DUMMYFUNCTION("""COMPUTED_VALUE"""),FALSE)</f>
        <v>0</v>
      </c>
    </row>
    <row r="70">
      <c r="A70" s="45" t="b">
        <v>0</v>
      </c>
      <c r="B70" s="45" t="str">
        <f>IFERROR(__xludf.DUMMYFUNCTION("""COMPUTED_VALUE"""),"Bagworm")</f>
        <v>Bagworm</v>
      </c>
      <c r="C70" s="45">
        <f>IFERROR(__xludf.DUMMYFUNCTION("""COMPUTED_VALUE"""),600.0)</f>
        <v>600</v>
      </c>
      <c r="D70" s="45" t="str">
        <f>IFERROR(__xludf.DUMMYFUNCTION("""COMPUTED_VALUE"""),"All day")</f>
        <v>All day</v>
      </c>
      <c r="E70" s="45" t="str">
        <f>IFERROR(__xludf.DUMMYFUNCTION("""COMPUTED_VALUE"""),"Falls from shaking trees")</f>
        <v>Falls from shaking trees</v>
      </c>
      <c r="F70" s="45"/>
      <c r="G70" s="45"/>
      <c r="H70" s="45" t="b">
        <f>IFERROR(__xludf.DUMMYFUNCTION("""COMPUTED_VALUE"""),TRUE)</f>
        <v>1</v>
      </c>
      <c r="I70" s="45" t="b">
        <f>IFERROR(__xludf.DUMMYFUNCTION("""COMPUTED_VALUE"""),TRUE)</f>
        <v>1</v>
      </c>
      <c r="J70" s="45" t="b">
        <f>IFERROR(__xludf.DUMMYFUNCTION("""COMPUTED_VALUE"""),TRUE)</f>
        <v>1</v>
      </c>
      <c r="K70" s="45" t="b">
        <f>IFERROR(__xludf.DUMMYFUNCTION("""COMPUTED_VALUE"""),TRUE)</f>
        <v>1</v>
      </c>
      <c r="L70" s="45" t="b">
        <f>IFERROR(__xludf.DUMMYFUNCTION("""COMPUTED_VALUE"""),TRUE)</f>
        <v>1</v>
      </c>
      <c r="M70" s="45" t="b">
        <f>IFERROR(__xludf.DUMMYFUNCTION("""COMPUTED_VALUE"""),TRUE)</f>
        <v>1</v>
      </c>
      <c r="N70" s="45" t="b">
        <f>IFERROR(__xludf.DUMMYFUNCTION("""COMPUTED_VALUE"""),TRUE)</f>
        <v>1</v>
      </c>
      <c r="O70" s="45" t="b">
        <f>IFERROR(__xludf.DUMMYFUNCTION("""COMPUTED_VALUE"""),TRUE)</f>
        <v>1</v>
      </c>
      <c r="P70" s="45" t="b">
        <f>IFERROR(__xludf.DUMMYFUNCTION("""COMPUTED_VALUE"""),TRUE)</f>
        <v>1</v>
      </c>
      <c r="Q70" s="45" t="b">
        <f>IFERROR(__xludf.DUMMYFUNCTION("""COMPUTED_VALUE"""),TRUE)</f>
        <v>1</v>
      </c>
      <c r="R70" s="45" t="b">
        <f>IFERROR(__xludf.DUMMYFUNCTION("""COMPUTED_VALUE"""),TRUE)</f>
        <v>1</v>
      </c>
      <c r="S70" s="45" t="b">
        <f>IFERROR(__xludf.DUMMYFUNCTION("""COMPUTED_VALUE"""),TRUE)</f>
        <v>1</v>
      </c>
      <c r="T70" s="45"/>
      <c r="U70" s="45" t="b">
        <f>IFERROR(__xludf.DUMMYFUNCTION("""COMPUTED_VALUE"""),TRUE)</f>
        <v>1</v>
      </c>
      <c r="V70" s="45" t="b">
        <f>IFERROR(__xludf.DUMMYFUNCTION("""COMPUTED_VALUE"""),TRUE)</f>
        <v>1</v>
      </c>
      <c r="W70" s="45" t="b">
        <f>IFERROR(__xludf.DUMMYFUNCTION("""COMPUTED_VALUE"""),TRUE)</f>
        <v>1</v>
      </c>
      <c r="X70" s="45" t="b">
        <f>IFERROR(__xludf.DUMMYFUNCTION("""COMPUTED_VALUE"""),TRUE)</f>
        <v>1</v>
      </c>
      <c r="Y70" s="45" t="b">
        <f>IFERROR(__xludf.DUMMYFUNCTION("""COMPUTED_VALUE"""),TRUE)</f>
        <v>1</v>
      </c>
      <c r="Z70" s="45" t="b">
        <f>IFERROR(__xludf.DUMMYFUNCTION("""COMPUTED_VALUE"""),TRUE)</f>
        <v>1</v>
      </c>
      <c r="AA70" s="45" t="b">
        <f>IFERROR(__xludf.DUMMYFUNCTION("""COMPUTED_VALUE"""),TRUE)</f>
        <v>1</v>
      </c>
      <c r="AB70" s="45" t="b">
        <f>IFERROR(__xludf.DUMMYFUNCTION("""COMPUTED_VALUE"""),TRUE)</f>
        <v>1</v>
      </c>
      <c r="AC70" s="45" t="b">
        <f>IFERROR(__xludf.DUMMYFUNCTION("""COMPUTED_VALUE"""),TRUE)</f>
        <v>1</v>
      </c>
      <c r="AD70" s="45" t="b">
        <f>IFERROR(__xludf.DUMMYFUNCTION("""COMPUTED_VALUE"""),TRUE)</f>
        <v>1</v>
      </c>
      <c r="AE70" s="45" t="b">
        <f>IFERROR(__xludf.DUMMYFUNCTION("""COMPUTED_VALUE"""),TRUE)</f>
        <v>1</v>
      </c>
      <c r="AF70" s="45" t="b">
        <f>IFERROR(__xludf.DUMMYFUNCTION("""COMPUTED_VALUE"""),TRUE)</f>
        <v>1</v>
      </c>
    </row>
    <row r="71">
      <c r="A71" s="45" t="b">
        <v>0</v>
      </c>
      <c r="B71" s="45" t="str">
        <f>IFERROR(__xludf.DUMMYFUNCTION("""COMPUTED_VALUE"""),"Ant")</f>
        <v>Ant</v>
      </c>
      <c r="C71" s="45">
        <f>IFERROR(__xludf.DUMMYFUNCTION("""COMPUTED_VALUE"""),80.0)</f>
        <v>80</v>
      </c>
      <c r="D71" s="45" t="str">
        <f>IFERROR(__xludf.DUMMYFUNCTION("""COMPUTED_VALUE"""),"All day")</f>
        <v>All day</v>
      </c>
      <c r="E71" s="45" t="str">
        <f>IFERROR(__xludf.DUMMYFUNCTION("""COMPUTED_VALUE"""),"On rotten food")</f>
        <v>On rotten food</v>
      </c>
      <c r="F71" s="45"/>
      <c r="G71" s="45"/>
      <c r="H71" s="45" t="b">
        <f>IFERROR(__xludf.DUMMYFUNCTION("""COMPUTED_VALUE"""),TRUE)</f>
        <v>1</v>
      </c>
      <c r="I71" s="45" t="b">
        <f>IFERROR(__xludf.DUMMYFUNCTION("""COMPUTED_VALUE"""),TRUE)</f>
        <v>1</v>
      </c>
      <c r="J71" s="45" t="b">
        <f>IFERROR(__xludf.DUMMYFUNCTION("""COMPUTED_VALUE"""),TRUE)</f>
        <v>1</v>
      </c>
      <c r="K71" s="45" t="b">
        <f>IFERROR(__xludf.DUMMYFUNCTION("""COMPUTED_VALUE"""),TRUE)</f>
        <v>1</v>
      </c>
      <c r="L71" s="45" t="b">
        <f>IFERROR(__xludf.DUMMYFUNCTION("""COMPUTED_VALUE"""),TRUE)</f>
        <v>1</v>
      </c>
      <c r="M71" s="45" t="b">
        <f>IFERROR(__xludf.DUMMYFUNCTION("""COMPUTED_VALUE"""),TRUE)</f>
        <v>1</v>
      </c>
      <c r="N71" s="45" t="b">
        <f>IFERROR(__xludf.DUMMYFUNCTION("""COMPUTED_VALUE"""),TRUE)</f>
        <v>1</v>
      </c>
      <c r="O71" s="45" t="b">
        <f>IFERROR(__xludf.DUMMYFUNCTION("""COMPUTED_VALUE"""),TRUE)</f>
        <v>1</v>
      </c>
      <c r="P71" s="45" t="b">
        <f>IFERROR(__xludf.DUMMYFUNCTION("""COMPUTED_VALUE"""),TRUE)</f>
        <v>1</v>
      </c>
      <c r="Q71" s="45" t="b">
        <f>IFERROR(__xludf.DUMMYFUNCTION("""COMPUTED_VALUE"""),TRUE)</f>
        <v>1</v>
      </c>
      <c r="R71" s="45" t="b">
        <f>IFERROR(__xludf.DUMMYFUNCTION("""COMPUTED_VALUE"""),TRUE)</f>
        <v>1</v>
      </c>
      <c r="S71" s="45" t="b">
        <f>IFERROR(__xludf.DUMMYFUNCTION("""COMPUTED_VALUE"""),TRUE)</f>
        <v>1</v>
      </c>
      <c r="T71" s="45"/>
      <c r="U71" s="45" t="b">
        <f>IFERROR(__xludf.DUMMYFUNCTION("""COMPUTED_VALUE"""),TRUE)</f>
        <v>1</v>
      </c>
      <c r="V71" s="45" t="b">
        <f>IFERROR(__xludf.DUMMYFUNCTION("""COMPUTED_VALUE"""),TRUE)</f>
        <v>1</v>
      </c>
      <c r="W71" s="45" t="b">
        <f>IFERROR(__xludf.DUMMYFUNCTION("""COMPUTED_VALUE"""),TRUE)</f>
        <v>1</v>
      </c>
      <c r="X71" s="45" t="b">
        <f>IFERROR(__xludf.DUMMYFUNCTION("""COMPUTED_VALUE"""),TRUE)</f>
        <v>1</v>
      </c>
      <c r="Y71" s="45" t="b">
        <f>IFERROR(__xludf.DUMMYFUNCTION("""COMPUTED_VALUE"""),TRUE)</f>
        <v>1</v>
      </c>
      <c r="Z71" s="45" t="b">
        <f>IFERROR(__xludf.DUMMYFUNCTION("""COMPUTED_VALUE"""),TRUE)</f>
        <v>1</v>
      </c>
      <c r="AA71" s="45" t="b">
        <f>IFERROR(__xludf.DUMMYFUNCTION("""COMPUTED_VALUE"""),TRUE)</f>
        <v>1</v>
      </c>
      <c r="AB71" s="45" t="b">
        <f>IFERROR(__xludf.DUMMYFUNCTION("""COMPUTED_VALUE"""),TRUE)</f>
        <v>1</v>
      </c>
      <c r="AC71" s="45" t="b">
        <f>IFERROR(__xludf.DUMMYFUNCTION("""COMPUTED_VALUE"""),TRUE)</f>
        <v>1</v>
      </c>
      <c r="AD71" s="45" t="b">
        <f>IFERROR(__xludf.DUMMYFUNCTION("""COMPUTED_VALUE"""),TRUE)</f>
        <v>1</v>
      </c>
      <c r="AE71" s="45" t="b">
        <f>IFERROR(__xludf.DUMMYFUNCTION("""COMPUTED_VALUE"""),TRUE)</f>
        <v>1</v>
      </c>
      <c r="AF71" s="45" t="b">
        <f>IFERROR(__xludf.DUMMYFUNCTION("""COMPUTED_VALUE"""),TRUE)</f>
        <v>1</v>
      </c>
    </row>
    <row r="72">
      <c r="A72" s="45" t="b">
        <v>0</v>
      </c>
      <c r="B72" s="45" t="str">
        <f>IFERROR(__xludf.DUMMYFUNCTION("""COMPUTED_VALUE"""),"Hermit crab")</f>
        <v>Hermit crab</v>
      </c>
      <c r="C72" s="45">
        <f>IFERROR(__xludf.DUMMYFUNCTION("""COMPUTED_VALUE"""),1000.0)</f>
        <v>1000</v>
      </c>
      <c r="D72" s="45" t="str">
        <f>IFERROR(__xludf.DUMMYFUNCTION("""COMPUTED_VALUE"""),"7 p.m. - 8 a.m.")</f>
        <v>7 p.m. - 8 a.m.</v>
      </c>
      <c r="E72" s="45" t="str">
        <f>IFERROR(__xludf.DUMMYFUNCTION("""COMPUTED_VALUE"""),"Beach")</f>
        <v>Beach</v>
      </c>
      <c r="F72" s="45"/>
      <c r="G72" s="45"/>
      <c r="H72" s="45" t="b">
        <f>IFERROR(__xludf.DUMMYFUNCTION("""COMPUTED_VALUE"""),TRUE)</f>
        <v>1</v>
      </c>
      <c r="I72" s="45" t="b">
        <f>IFERROR(__xludf.DUMMYFUNCTION("""COMPUTED_VALUE"""),TRUE)</f>
        <v>1</v>
      </c>
      <c r="J72" s="45" t="b">
        <f>IFERROR(__xludf.DUMMYFUNCTION("""COMPUTED_VALUE"""),TRUE)</f>
        <v>1</v>
      </c>
      <c r="K72" s="45" t="b">
        <f>IFERROR(__xludf.DUMMYFUNCTION("""COMPUTED_VALUE"""),TRUE)</f>
        <v>1</v>
      </c>
      <c r="L72" s="45" t="b">
        <f>IFERROR(__xludf.DUMMYFUNCTION("""COMPUTED_VALUE"""),TRUE)</f>
        <v>1</v>
      </c>
      <c r="M72" s="45" t="b">
        <f>IFERROR(__xludf.DUMMYFUNCTION("""COMPUTED_VALUE"""),TRUE)</f>
        <v>1</v>
      </c>
      <c r="N72" s="45" t="b">
        <f>IFERROR(__xludf.DUMMYFUNCTION("""COMPUTED_VALUE"""),TRUE)</f>
        <v>1</v>
      </c>
      <c r="O72" s="45" t="b">
        <f>IFERROR(__xludf.DUMMYFUNCTION("""COMPUTED_VALUE"""),TRUE)</f>
        <v>1</v>
      </c>
      <c r="P72" s="45" t="b">
        <f>IFERROR(__xludf.DUMMYFUNCTION("""COMPUTED_VALUE"""),TRUE)</f>
        <v>1</v>
      </c>
      <c r="Q72" s="45" t="b">
        <f>IFERROR(__xludf.DUMMYFUNCTION("""COMPUTED_VALUE"""),TRUE)</f>
        <v>1</v>
      </c>
      <c r="R72" s="45" t="b">
        <f>IFERROR(__xludf.DUMMYFUNCTION("""COMPUTED_VALUE"""),TRUE)</f>
        <v>1</v>
      </c>
      <c r="S72" s="45" t="b">
        <f>IFERROR(__xludf.DUMMYFUNCTION("""COMPUTED_VALUE"""),TRUE)</f>
        <v>1</v>
      </c>
      <c r="T72" s="45"/>
      <c r="U72" s="45" t="b">
        <f>IFERROR(__xludf.DUMMYFUNCTION("""COMPUTED_VALUE"""),TRUE)</f>
        <v>1</v>
      </c>
      <c r="V72" s="45" t="b">
        <f>IFERROR(__xludf.DUMMYFUNCTION("""COMPUTED_VALUE"""),TRUE)</f>
        <v>1</v>
      </c>
      <c r="W72" s="45" t="b">
        <f>IFERROR(__xludf.DUMMYFUNCTION("""COMPUTED_VALUE"""),TRUE)</f>
        <v>1</v>
      </c>
      <c r="X72" s="45" t="b">
        <f>IFERROR(__xludf.DUMMYFUNCTION("""COMPUTED_VALUE"""),TRUE)</f>
        <v>1</v>
      </c>
      <c r="Y72" s="45" t="b">
        <f>IFERROR(__xludf.DUMMYFUNCTION("""COMPUTED_VALUE"""),TRUE)</f>
        <v>1</v>
      </c>
      <c r="Z72" s="45" t="b">
        <f>IFERROR(__xludf.DUMMYFUNCTION("""COMPUTED_VALUE"""),TRUE)</f>
        <v>1</v>
      </c>
      <c r="AA72" s="45" t="b">
        <f>IFERROR(__xludf.DUMMYFUNCTION("""COMPUTED_VALUE"""),TRUE)</f>
        <v>1</v>
      </c>
      <c r="AB72" s="45" t="b">
        <f>IFERROR(__xludf.DUMMYFUNCTION("""COMPUTED_VALUE"""),TRUE)</f>
        <v>1</v>
      </c>
      <c r="AC72" s="45" t="b">
        <f>IFERROR(__xludf.DUMMYFUNCTION("""COMPUTED_VALUE"""),TRUE)</f>
        <v>1</v>
      </c>
      <c r="AD72" s="45" t="b">
        <f>IFERROR(__xludf.DUMMYFUNCTION("""COMPUTED_VALUE"""),TRUE)</f>
        <v>1</v>
      </c>
      <c r="AE72" s="45" t="b">
        <f>IFERROR(__xludf.DUMMYFUNCTION("""COMPUTED_VALUE"""),TRUE)</f>
        <v>1</v>
      </c>
      <c r="AF72" s="45" t="b">
        <f>IFERROR(__xludf.DUMMYFUNCTION("""COMPUTED_VALUE"""),TRUE)</f>
        <v>1</v>
      </c>
    </row>
    <row r="73">
      <c r="A73" s="45" t="b">
        <v>0</v>
      </c>
      <c r="B73" s="45" t="str">
        <f>IFERROR(__xludf.DUMMYFUNCTION("""COMPUTED_VALUE"""),"Wharf roach")</f>
        <v>Wharf roach</v>
      </c>
      <c r="C73" s="45">
        <f>IFERROR(__xludf.DUMMYFUNCTION("""COMPUTED_VALUE"""),200.0)</f>
        <v>200</v>
      </c>
      <c r="D73" s="45" t="str">
        <f>IFERROR(__xludf.DUMMYFUNCTION("""COMPUTED_VALUE"""),"All day")</f>
        <v>All day</v>
      </c>
      <c r="E73" s="45" t="str">
        <f>IFERROR(__xludf.DUMMYFUNCTION("""COMPUTED_VALUE"""),"On rocks at beach")</f>
        <v>On rocks at beach</v>
      </c>
      <c r="F73" s="45"/>
      <c r="G73" s="45"/>
      <c r="H73" s="45" t="b">
        <f>IFERROR(__xludf.DUMMYFUNCTION("""COMPUTED_VALUE"""),TRUE)</f>
        <v>1</v>
      </c>
      <c r="I73" s="45" t="b">
        <f>IFERROR(__xludf.DUMMYFUNCTION("""COMPUTED_VALUE"""),TRUE)</f>
        <v>1</v>
      </c>
      <c r="J73" s="45" t="b">
        <f>IFERROR(__xludf.DUMMYFUNCTION("""COMPUTED_VALUE"""),TRUE)</f>
        <v>1</v>
      </c>
      <c r="K73" s="45" t="b">
        <f>IFERROR(__xludf.DUMMYFUNCTION("""COMPUTED_VALUE"""),TRUE)</f>
        <v>1</v>
      </c>
      <c r="L73" s="45" t="b">
        <f>IFERROR(__xludf.DUMMYFUNCTION("""COMPUTED_VALUE"""),TRUE)</f>
        <v>1</v>
      </c>
      <c r="M73" s="45" t="b">
        <f>IFERROR(__xludf.DUMMYFUNCTION("""COMPUTED_VALUE"""),TRUE)</f>
        <v>1</v>
      </c>
      <c r="N73" s="45" t="b">
        <f>IFERROR(__xludf.DUMMYFUNCTION("""COMPUTED_VALUE"""),TRUE)</f>
        <v>1</v>
      </c>
      <c r="O73" s="45" t="b">
        <f>IFERROR(__xludf.DUMMYFUNCTION("""COMPUTED_VALUE"""),TRUE)</f>
        <v>1</v>
      </c>
      <c r="P73" s="45" t="b">
        <f>IFERROR(__xludf.DUMMYFUNCTION("""COMPUTED_VALUE"""),TRUE)</f>
        <v>1</v>
      </c>
      <c r="Q73" s="45" t="b">
        <f>IFERROR(__xludf.DUMMYFUNCTION("""COMPUTED_VALUE"""),TRUE)</f>
        <v>1</v>
      </c>
      <c r="R73" s="45" t="b">
        <f>IFERROR(__xludf.DUMMYFUNCTION("""COMPUTED_VALUE"""),TRUE)</f>
        <v>1</v>
      </c>
      <c r="S73" s="45" t="b">
        <f>IFERROR(__xludf.DUMMYFUNCTION("""COMPUTED_VALUE"""),TRUE)</f>
        <v>1</v>
      </c>
      <c r="T73" s="45"/>
      <c r="U73" s="45" t="b">
        <f>IFERROR(__xludf.DUMMYFUNCTION("""COMPUTED_VALUE"""),TRUE)</f>
        <v>1</v>
      </c>
      <c r="V73" s="45" t="b">
        <f>IFERROR(__xludf.DUMMYFUNCTION("""COMPUTED_VALUE"""),TRUE)</f>
        <v>1</v>
      </c>
      <c r="W73" s="45" t="b">
        <f>IFERROR(__xludf.DUMMYFUNCTION("""COMPUTED_VALUE"""),TRUE)</f>
        <v>1</v>
      </c>
      <c r="X73" s="45" t="b">
        <f>IFERROR(__xludf.DUMMYFUNCTION("""COMPUTED_VALUE"""),TRUE)</f>
        <v>1</v>
      </c>
      <c r="Y73" s="45" t="b">
        <f>IFERROR(__xludf.DUMMYFUNCTION("""COMPUTED_VALUE"""),TRUE)</f>
        <v>1</v>
      </c>
      <c r="Z73" s="45" t="b">
        <f>IFERROR(__xludf.DUMMYFUNCTION("""COMPUTED_VALUE"""),TRUE)</f>
        <v>1</v>
      </c>
      <c r="AA73" s="45" t="b">
        <f>IFERROR(__xludf.DUMMYFUNCTION("""COMPUTED_VALUE"""),TRUE)</f>
        <v>1</v>
      </c>
      <c r="AB73" s="45" t="b">
        <f>IFERROR(__xludf.DUMMYFUNCTION("""COMPUTED_VALUE"""),TRUE)</f>
        <v>1</v>
      </c>
      <c r="AC73" s="45" t="b">
        <f>IFERROR(__xludf.DUMMYFUNCTION("""COMPUTED_VALUE"""),TRUE)</f>
        <v>1</v>
      </c>
      <c r="AD73" s="45" t="b">
        <f>IFERROR(__xludf.DUMMYFUNCTION("""COMPUTED_VALUE"""),TRUE)</f>
        <v>1</v>
      </c>
      <c r="AE73" s="45" t="b">
        <f>IFERROR(__xludf.DUMMYFUNCTION("""COMPUTED_VALUE"""),TRUE)</f>
        <v>1</v>
      </c>
      <c r="AF73" s="45" t="b">
        <f>IFERROR(__xludf.DUMMYFUNCTION("""COMPUTED_VALUE"""),TRUE)</f>
        <v>1</v>
      </c>
    </row>
    <row r="74">
      <c r="A74" s="45" t="b">
        <v>0</v>
      </c>
      <c r="B74" s="45" t="str">
        <f>IFERROR(__xludf.DUMMYFUNCTION("""COMPUTED_VALUE"""),"Fly")</f>
        <v>Fly</v>
      </c>
      <c r="C74" s="45">
        <f>IFERROR(__xludf.DUMMYFUNCTION("""COMPUTED_VALUE"""),60.0)</f>
        <v>60</v>
      </c>
      <c r="D74" s="45" t="str">
        <f>IFERROR(__xludf.DUMMYFUNCTION("""COMPUTED_VALUE"""),"All day")</f>
        <v>All day</v>
      </c>
      <c r="E74" s="45" t="str">
        <f>IFERROR(__xludf.DUMMYFUNCTION("""COMPUTED_VALUE"""),"On trash items")</f>
        <v>On trash items</v>
      </c>
      <c r="F74" s="45"/>
      <c r="G74" s="45"/>
      <c r="H74" s="45" t="b">
        <f>IFERROR(__xludf.DUMMYFUNCTION("""COMPUTED_VALUE"""),TRUE)</f>
        <v>1</v>
      </c>
      <c r="I74" s="45" t="b">
        <f>IFERROR(__xludf.DUMMYFUNCTION("""COMPUTED_VALUE"""),TRUE)</f>
        <v>1</v>
      </c>
      <c r="J74" s="45" t="b">
        <f>IFERROR(__xludf.DUMMYFUNCTION("""COMPUTED_VALUE"""),TRUE)</f>
        <v>1</v>
      </c>
      <c r="K74" s="45" t="b">
        <f>IFERROR(__xludf.DUMMYFUNCTION("""COMPUTED_VALUE"""),TRUE)</f>
        <v>1</v>
      </c>
      <c r="L74" s="45" t="b">
        <f>IFERROR(__xludf.DUMMYFUNCTION("""COMPUTED_VALUE"""),TRUE)</f>
        <v>1</v>
      </c>
      <c r="M74" s="45" t="b">
        <f>IFERROR(__xludf.DUMMYFUNCTION("""COMPUTED_VALUE"""),TRUE)</f>
        <v>1</v>
      </c>
      <c r="N74" s="45" t="b">
        <f>IFERROR(__xludf.DUMMYFUNCTION("""COMPUTED_VALUE"""),TRUE)</f>
        <v>1</v>
      </c>
      <c r="O74" s="45" t="b">
        <f>IFERROR(__xludf.DUMMYFUNCTION("""COMPUTED_VALUE"""),TRUE)</f>
        <v>1</v>
      </c>
      <c r="P74" s="45" t="b">
        <f>IFERROR(__xludf.DUMMYFUNCTION("""COMPUTED_VALUE"""),TRUE)</f>
        <v>1</v>
      </c>
      <c r="Q74" s="45" t="b">
        <f>IFERROR(__xludf.DUMMYFUNCTION("""COMPUTED_VALUE"""),TRUE)</f>
        <v>1</v>
      </c>
      <c r="R74" s="45" t="b">
        <f>IFERROR(__xludf.DUMMYFUNCTION("""COMPUTED_VALUE"""),TRUE)</f>
        <v>1</v>
      </c>
      <c r="S74" s="45" t="b">
        <f>IFERROR(__xludf.DUMMYFUNCTION("""COMPUTED_VALUE"""),TRUE)</f>
        <v>1</v>
      </c>
      <c r="T74" s="45"/>
      <c r="U74" s="45" t="b">
        <f>IFERROR(__xludf.DUMMYFUNCTION("""COMPUTED_VALUE"""),TRUE)</f>
        <v>1</v>
      </c>
      <c r="V74" s="45" t="b">
        <f>IFERROR(__xludf.DUMMYFUNCTION("""COMPUTED_VALUE"""),TRUE)</f>
        <v>1</v>
      </c>
      <c r="W74" s="45" t="b">
        <f>IFERROR(__xludf.DUMMYFUNCTION("""COMPUTED_VALUE"""),TRUE)</f>
        <v>1</v>
      </c>
      <c r="X74" s="45" t="b">
        <f>IFERROR(__xludf.DUMMYFUNCTION("""COMPUTED_VALUE"""),TRUE)</f>
        <v>1</v>
      </c>
      <c r="Y74" s="45" t="b">
        <f>IFERROR(__xludf.DUMMYFUNCTION("""COMPUTED_VALUE"""),TRUE)</f>
        <v>1</v>
      </c>
      <c r="Z74" s="45" t="b">
        <f>IFERROR(__xludf.DUMMYFUNCTION("""COMPUTED_VALUE"""),TRUE)</f>
        <v>1</v>
      </c>
      <c r="AA74" s="45" t="b">
        <f>IFERROR(__xludf.DUMMYFUNCTION("""COMPUTED_VALUE"""),TRUE)</f>
        <v>1</v>
      </c>
      <c r="AB74" s="45" t="b">
        <f>IFERROR(__xludf.DUMMYFUNCTION("""COMPUTED_VALUE"""),TRUE)</f>
        <v>1</v>
      </c>
      <c r="AC74" s="45" t="b">
        <f>IFERROR(__xludf.DUMMYFUNCTION("""COMPUTED_VALUE"""),TRUE)</f>
        <v>1</v>
      </c>
      <c r="AD74" s="45" t="b">
        <f>IFERROR(__xludf.DUMMYFUNCTION("""COMPUTED_VALUE"""),TRUE)</f>
        <v>1</v>
      </c>
      <c r="AE74" s="45" t="b">
        <f>IFERROR(__xludf.DUMMYFUNCTION("""COMPUTED_VALUE"""),TRUE)</f>
        <v>1</v>
      </c>
      <c r="AF74" s="45" t="b">
        <f>IFERROR(__xludf.DUMMYFUNCTION("""COMPUTED_VALUE"""),TRUE)</f>
        <v>1</v>
      </c>
    </row>
    <row r="75">
      <c r="A75" s="45" t="b">
        <v>0</v>
      </c>
      <c r="B75" s="45" t="str">
        <f>IFERROR(__xludf.DUMMYFUNCTION("""COMPUTED_VALUE"""),"Mosquito")</f>
        <v>Mosquito</v>
      </c>
      <c r="C75" s="45">
        <f>IFERROR(__xludf.DUMMYFUNCTION("""COMPUTED_VALUE"""),130.0)</f>
        <v>130</v>
      </c>
      <c r="D75" s="45" t="str">
        <f>IFERROR(__xludf.DUMMYFUNCTION("""COMPUTED_VALUE"""),"5 p.m. - 4 a.m.")</f>
        <v>5 p.m. - 4 a.m.</v>
      </c>
      <c r="E75" s="45" t="str">
        <f>IFERROR(__xludf.DUMMYFUNCTION("""COMPUTED_VALUE"""),"Flying")</f>
        <v>Flying</v>
      </c>
      <c r="F75" s="45"/>
      <c r="G75" s="45"/>
      <c r="H75" s="45" t="b">
        <f>IFERROR(__xludf.DUMMYFUNCTION("""COMPUTED_VALUE"""),FALSE)</f>
        <v>0</v>
      </c>
      <c r="I75" s="45" t="b">
        <f>IFERROR(__xludf.DUMMYFUNCTION("""COMPUTED_VALUE"""),FALSE)</f>
        <v>0</v>
      </c>
      <c r="J75" s="45" t="b">
        <f>IFERROR(__xludf.DUMMYFUNCTION("""COMPUTED_VALUE"""),FALSE)</f>
        <v>0</v>
      </c>
      <c r="K75" s="45" t="b">
        <f>IFERROR(__xludf.DUMMYFUNCTION("""COMPUTED_VALUE"""),FALSE)</f>
        <v>0</v>
      </c>
      <c r="L75" s="45" t="b">
        <f>IFERROR(__xludf.DUMMYFUNCTION("""COMPUTED_VALUE"""),FALSE)</f>
        <v>0</v>
      </c>
      <c r="M75" s="45" t="b">
        <f>IFERROR(__xludf.DUMMYFUNCTION("""COMPUTED_VALUE"""),TRUE)</f>
        <v>1</v>
      </c>
      <c r="N75" s="45" t="b">
        <f>IFERROR(__xludf.DUMMYFUNCTION("""COMPUTED_VALUE"""),TRUE)</f>
        <v>1</v>
      </c>
      <c r="O75" s="45" t="b">
        <f>IFERROR(__xludf.DUMMYFUNCTION("""COMPUTED_VALUE"""),TRUE)</f>
        <v>1</v>
      </c>
      <c r="P75" s="45" t="b">
        <f>IFERROR(__xludf.DUMMYFUNCTION("""COMPUTED_VALUE"""),TRUE)</f>
        <v>1</v>
      </c>
      <c r="Q75" s="45" t="b">
        <f>IFERROR(__xludf.DUMMYFUNCTION("""COMPUTED_VALUE"""),FALSE)</f>
        <v>0</v>
      </c>
      <c r="R75" s="45" t="b">
        <f>IFERROR(__xludf.DUMMYFUNCTION("""COMPUTED_VALUE"""),FALSE)</f>
        <v>0</v>
      </c>
      <c r="S75" s="45" t="b">
        <f>IFERROR(__xludf.DUMMYFUNCTION("""COMPUTED_VALUE"""),FALSE)</f>
        <v>0</v>
      </c>
      <c r="T75" s="45"/>
      <c r="U75" s="45" t="b">
        <f>IFERROR(__xludf.DUMMYFUNCTION("""COMPUTED_VALUE"""),TRUE)</f>
        <v>1</v>
      </c>
      <c r="V75" s="45" t="b">
        <f>IFERROR(__xludf.DUMMYFUNCTION("""COMPUTED_VALUE"""),TRUE)</f>
        <v>1</v>
      </c>
      <c r="W75" s="45" t="b">
        <f>IFERROR(__xludf.DUMMYFUNCTION("""COMPUTED_VALUE"""),TRUE)</f>
        <v>1</v>
      </c>
      <c r="X75" s="45" t="b">
        <f>IFERROR(__xludf.DUMMYFUNCTION("""COMPUTED_VALUE"""),FALSE)</f>
        <v>0</v>
      </c>
      <c r="Y75" s="45" t="b">
        <f>IFERROR(__xludf.DUMMYFUNCTION("""COMPUTED_VALUE"""),FALSE)</f>
        <v>0</v>
      </c>
      <c r="Z75" s="45" t="b">
        <f>IFERROR(__xludf.DUMMYFUNCTION("""COMPUTED_VALUE"""),FALSE)</f>
        <v>0</v>
      </c>
      <c r="AA75" s="45" t="b">
        <f>IFERROR(__xludf.DUMMYFUNCTION("""COMPUTED_VALUE"""),FALSE)</f>
        <v>0</v>
      </c>
      <c r="AB75" s="45" t="b">
        <f>IFERROR(__xludf.DUMMYFUNCTION("""COMPUTED_VALUE"""),FALSE)</f>
        <v>0</v>
      </c>
      <c r="AC75" s="45" t="b">
        <f>IFERROR(__xludf.DUMMYFUNCTION("""COMPUTED_VALUE"""),FALSE)</f>
        <v>0</v>
      </c>
      <c r="AD75" s="45" t="b">
        <f>IFERROR(__xludf.DUMMYFUNCTION("""COMPUTED_VALUE"""),FALSE)</f>
        <v>0</v>
      </c>
      <c r="AE75" s="45" t="b">
        <f>IFERROR(__xludf.DUMMYFUNCTION("""COMPUTED_VALUE"""),FALSE)</f>
        <v>0</v>
      </c>
      <c r="AF75" s="45" t="b">
        <f>IFERROR(__xludf.DUMMYFUNCTION("""COMPUTED_VALUE"""),TRUE)</f>
        <v>1</v>
      </c>
    </row>
    <row r="76">
      <c r="A76" s="45" t="b">
        <v>0</v>
      </c>
      <c r="B76" s="45" t="str">
        <f>IFERROR(__xludf.DUMMYFUNCTION("""COMPUTED_VALUE"""),"Flea")</f>
        <v>Flea</v>
      </c>
      <c r="C76" s="45">
        <f>IFERROR(__xludf.DUMMYFUNCTION("""COMPUTED_VALUE"""),70.0)</f>
        <v>70</v>
      </c>
      <c r="D76" s="45" t="str">
        <f>IFERROR(__xludf.DUMMYFUNCTION("""COMPUTED_VALUE"""),"All day")</f>
        <v>All day</v>
      </c>
      <c r="E76" s="45" t="str">
        <f>IFERROR(__xludf.DUMMYFUNCTION("""COMPUTED_VALUE"""),"On villagers")</f>
        <v>On villagers</v>
      </c>
      <c r="F76" s="45"/>
      <c r="G76" s="45"/>
      <c r="H76" s="45" t="b">
        <f>IFERROR(__xludf.DUMMYFUNCTION("""COMPUTED_VALUE"""),FALSE)</f>
        <v>0</v>
      </c>
      <c r="I76" s="45" t="b">
        <f>IFERROR(__xludf.DUMMYFUNCTION("""COMPUTED_VALUE"""),FALSE)</f>
        <v>0</v>
      </c>
      <c r="J76" s="45" t="b">
        <f>IFERROR(__xludf.DUMMYFUNCTION("""COMPUTED_VALUE"""),FALSE)</f>
        <v>0</v>
      </c>
      <c r="K76" s="45" t="b">
        <f>IFERROR(__xludf.DUMMYFUNCTION("""COMPUTED_VALUE"""),TRUE)</f>
        <v>1</v>
      </c>
      <c r="L76" s="45" t="b">
        <f>IFERROR(__xludf.DUMMYFUNCTION("""COMPUTED_VALUE"""),TRUE)</f>
        <v>1</v>
      </c>
      <c r="M76" s="45" t="b">
        <f>IFERROR(__xludf.DUMMYFUNCTION("""COMPUTED_VALUE"""),TRUE)</f>
        <v>1</v>
      </c>
      <c r="N76" s="45" t="b">
        <f>IFERROR(__xludf.DUMMYFUNCTION("""COMPUTED_VALUE"""),TRUE)</f>
        <v>1</v>
      </c>
      <c r="O76" s="45" t="b">
        <f>IFERROR(__xludf.DUMMYFUNCTION("""COMPUTED_VALUE"""),TRUE)</f>
        <v>1</v>
      </c>
      <c r="P76" s="45" t="b">
        <f>IFERROR(__xludf.DUMMYFUNCTION("""COMPUTED_VALUE"""),TRUE)</f>
        <v>1</v>
      </c>
      <c r="Q76" s="45" t="b">
        <f>IFERROR(__xludf.DUMMYFUNCTION("""COMPUTED_VALUE"""),TRUE)</f>
        <v>1</v>
      </c>
      <c r="R76" s="45" t="b">
        <f>IFERROR(__xludf.DUMMYFUNCTION("""COMPUTED_VALUE"""),TRUE)</f>
        <v>1</v>
      </c>
      <c r="S76" s="45" t="b">
        <f>IFERROR(__xludf.DUMMYFUNCTION("""COMPUTED_VALUE"""),FALSE)</f>
        <v>0</v>
      </c>
      <c r="T76" s="45"/>
      <c r="U76" s="45" t="b">
        <f>IFERROR(__xludf.DUMMYFUNCTION("""COMPUTED_VALUE"""),TRUE)</f>
        <v>1</v>
      </c>
      <c r="V76" s="45" t="b">
        <f>IFERROR(__xludf.DUMMYFUNCTION("""COMPUTED_VALUE"""),TRUE)</f>
        <v>1</v>
      </c>
      <c r="W76" s="45" t="b">
        <f>IFERROR(__xludf.DUMMYFUNCTION("""COMPUTED_VALUE"""),TRUE)</f>
        <v>1</v>
      </c>
      <c r="X76" s="45" t="b">
        <f>IFERROR(__xludf.DUMMYFUNCTION("""COMPUTED_VALUE"""),TRUE)</f>
        <v>1</v>
      </c>
      <c r="Y76" s="45" t="b">
        <f>IFERROR(__xludf.DUMMYFUNCTION("""COMPUTED_VALUE"""),TRUE)</f>
        <v>1</v>
      </c>
      <c r="Z76" s="45" t="b">
        <f>IFERROR(__xludf.DUMMYFUNCTION("""COMPUTED_VALUE"""),FALSE)</f>
        <v>0</v>
      </c>
      <c r="AA76" s="45" t="b">
        <f>IFERROR(__xludf.DUMMYFUNCTION("""COMPUTED_VALUE"""),FALSE)</f>
        <v>0</v>
      </c>
      <c r="AB76" s="45" t="b">
        <f>IFERROR(__xludf.DUMMYFUNCTION("""COMPUTED_VALUE"""),FALSE)</f>
        <v>0</v>
      </c>
      <c r="AC76" s="45" t="b">
        <f>IFERROR(__xludf.DUMMYFUNCTION("""COMPUTED_VALUE"""),FALSE)</f>
        <v>0</v>
      </c>
      <c r="AD76" s="45" t="b">
        <f>IFERROR(__xludf.DUMMYFUNCTION("""COMPUTED_VALUE"""),TRUE)</f>
        <v>1</v>
      </c>
      <c r="AE76" s="45" t="b">
        <f>IFERROR(__xludf.DUMMYFUNCTION("""COMPUTED_VALUE"""),TRUE)</f>
        <v>1</v>
      </c>
      <c r="AF76" s="45" t="b">
        <f>IFERROR(__xludf.DUMMYFUNCTION("""COMPUTED_VALUE"""),TRUE)</f>
        <v>1</v>
      </c>
    </row>
    <row r="77">
      <c r="A77" s="45" t="b">
        <v>0</v>
      </c>
      <c r="B77" s="45" t="str">
        <f>IFERROR(__xludf.DUMMYFUNCTION("""COMPUTED_VALUE"""),"Snail")</f>
        <v>Snail</v>
      </c>
      <c r="C77" s="45">
        <f>IFERROR(__xludf.DUMMYFUNCTION("""COMPUTED_VALUE"""),250.0)</f>
        <v>250</v>
      </c>
      <c r="D77" s="45" t="str">
        <f>IFERROR(__xludf.DUMMYFUNCTION("""COMPUTED_VALUE"""),"All day")</f>
        <v>All day</v>
      </c>
      <c r="E77" s="45" t="str">
        <f>IFERROR(__xludf.DUMMYFUNCTION("""COMPUTED_VALUE"""),"On rocks (raining)")</f>
        <v>On rocks (raining)</v>
      </c>
      <c r="F77" s="45"/>
      <c r="G77" s="45"/>
      <c r="H77" s="45" t="b">
        <f>IFERROR(__xludf.DUMMYFUNCTION("""COMPUTED_VALUE"""),TRUE)</f>
        <v>1</v>
      </c>
      <c r="I77" s="45" t="b">
        <f>IFERROR(__xludf.DUMMYFUNCTION("""COMPUTED_VALUE"""),TRUE)</f>
        <v>1</v>
      </c>
      <c r="J77" s="45" t="b">
        <f>IFERROR(__xludf.DUMMYFUNCTION("""COMPUTED_VALUE"""),TRUE)</f>
        <v>1</v>
      </c>
      <c r="K77" s="45" t="b">
        <f>IFERROR(__xludf.DUMMYFUNCTION("""COMPUTED_VALUE"""),TRUE)</f>
        <v>1</v>
      </c>
      <c r="L77" s="45" t="b">
        <f>IFERROR(__xludf.DUMMYFUNCTION("""COMPUTED_VALUE"""),TRUE)</f>
        <v>1</v>
      </c>
      <c r="M77" s="45" t="b">
        <f>IFERROR(__xludf.DUMMYFUNCTION("""COMPUTED_VALUE"""),TRUE)</f>
        <v>1</v>
      </c>
      <c r="N77" s="45" t="b">
        <f>IFERROR(__xludf.DUMMYFUNCTION("""COMPUTED_VALUE"""),TRUE)</f>
        <v>1</v>
      </c>
      <c r="O77" s="45" t="b">
        <f>IFERROR(__xludf.DUMMYFUNCTION("""COMPUTED_VALUE"""),TRUE)</f>
        <v>1</v>
      </c>
      <c r="P77" s="45" t="b">
        <f>IFERROR(__xludf.DUMMYFUNCTION("""COMPUTED_VALUE"""),TRUE)</f>
        <v>1</v>
      </c>
      <c r="Q77" s="45" t="b">
        <f>IFERROR(__xludf.DUMMYFUNCTION("""COMPUTED_VALUE"""),TRUE)</f>
        <v>1</v>
      </c>
      <c r="R77" s="45" t="b">
        <f>IFERROR(__xludf.DUMMYFUNCTION("""COMPUTED_VALUE"""),TRUE)</f>
        <v>1</v>
      </c>
      <c r="S77" s="45" t="b">
        <f>IFERROR(__xludf.DUMMYFUNCTION("""COMPUTED_VALUE"""),TRUE)</f>
        <v>1</v>
      </c>
      <c r="T77" s="45"/>
      <c r="U77" s="45" t="b">
        <f>IFERROR(__xludf.DUMMYFUNCTION("""COMPUTED_VALUE"""),TRUE)</f>
        <v>1</v>
      </c>
      <c r="V77" s="45" t="b">
        <f>IFERROR(__xludf.DUMMYFUNCTION("""COMPUTED_VALUE"""),TRUE)</f>
        <v>1</v>
      </c>
      <c r="W77" s="45" t="b">
        <f>IFERROR(__xludf.DUMMYFUNCTION("""COMPUTED_VALUE"""),TRUE)</f>
        <v>1</v>
      </c>
      <c r="X77" s="45" t="b">
        <f>IFERROR(__xludf.DUMMYFUNCTION("""COMPUTED_VALUE"""),TRUE)</f>
        <v>1</v>
      </c>
      <c r="Y77" s="45" t="b">
        <f>IFERROR(__xludf.DUMMYFUNCTION("""COMPUTED_VALUE"""),TRUE)</f>
        <v>1</v>
      </c>
      <c r="Z77" s="45" t="b">
        <f>IFERROR(__xludf.DUMMYFUNCTION("""COMPUTED_VALUE"""),TRUE)</f>
        <v>1</v>
      </c>
      <c r="AA77" s="45" t="b">
        <f>IFERROR(__xludf.DUMMYFUNCTION("""COMPUTED_VALUE"""),TRUE)</f>
        <v>1</v>
      </c>
      <c r="AB77" s="45" t="b">
        <f>IFERROR(__xludf.DUMMYFUNCTION("""COMPUTED_VALUE"""),TRUE)</f>
        <v>1</v>
      </c>
      <c r="AC77" s="45" t="b">
        <f>IFERROR(__xludf.DUMMYFUNCTION("""COMPUTED_VALUE"""),TRUE)</f>
        <v>1</v>
      </c>
      <c r="AD77" s="45" t="b">
        <f>IFERROR(__xludf.DUMMYFUNCTION("""COMPUTED_VALUE"""),TRUE)</f>
        <v>1</v>
      </c>
      <c r="AE77" s="45" t="b">
        <f>IFERROR(__xludf.DUMMYFUNCTION("""COMPUTED_VALUE"""),TRUE)</f>
        <v>1</v>
      </c>
      <c r="AF77" s="45" t="b">
        <f>IFERROR(__xludf.DUMMYFUNCTION("""COMPUTED_VALUE"""),TRUE)</f>
        <v>1</v>
      </c>
    </row>
    <row r="78">
      <c r="A78" s="45" t="b">
        <v>0</v>
      </c>
      <c r="B78" s="45" t="str">
        <f>IFERROR(__xludf.DUMMYFUNCTION("""COMPUTED_VALUE"""),"Pill bug")</f>
        <v>Pill bug</v>
      </c>
      <c r="C78" s="45">
        <f>IFERROR(__xludf.DUMMYFUNCTION("""COMPUTED_VALUE"""),250.0)</f>
        <v>250</v>
      </c>
      <c r="D78" s="45" t="str">
        <f>IFERROR(__xludf.DUMMYFUNCTION("""COMPUTED_VALUE"""),"11 p.m. - 4 p.m.")</f>
        <v>11 p.m. - 4 p.m.</v>
      </c>
      <c r="E78" s="45" t="str">
        <f>IFERROR(__xludf.DUMMYFUNCTION("""COMPUTED_VALUE"""),"Hit rocks")</f>
        <v>Hit rocks</v>
      </c>
      <c r="F78" s="45"/>
      <c r="G78" s="45"/>
      <c r="H78" s="45" t="b">
        <f>IFERROR(__xludf.DUMMYFUNCTION("""COMPUTED_VALUE"""),TRUE)</f>
        <v>1</v>
      </c>
      <c r="I78" s="45" t="b">
        <f>IFERROR(__xludf.DUMMYFUNCTION("""COMPUTED_VALUE"""),TRUE)</f>
        <v>1</v>
      </c>
      <c r="J78" s="45" t="b">
        <f>IFERROR(__xludf.DUMMYFUNCTION("""COMPUTED_VALUE"""),TRUE)</f>
        <v>1</v>
      </c>
      <c r="K78" s="45" t="b">
        <f>IFERROR(__xludf.DUMMYFUNCTION("""COMPUTED_VALUE"""),TRUE)</f>
        <v>1</v>
      </c>
      <c r="L78" s="45" t="b">
        <f>IFERROR(__xludf.DUMMYFUNCTION("""COMPUTED_VALUE"""),TRUE)</f>
        <v>1</v>
      </c>
      <c r="M78" s="45" t="b">
        <f>IFERROR(__xludf.DUMMYFUNCTION("""COMPUTED_VALUE"""),TRUE)</f>
        <v>1</v>
      </c>
      <c r="N78" s="45" t="b">
        <f>IFERROR(__xludf.DUMMYFUNCTION("""COMPUTED_VALUE"""),FALSE)</f>
        <v>0</v>
      </c>
      <c r="O78" s="45" t="b">
        <f>IFERROR(__xludf.DUMMYFUNCTION("""COMPUTED_VALUE"""),FALSE)</f>
        <v>0</v>
      </c>
      <c r="P78" s="45" t="b">
        <f>IFERROR(__xludf.DUMMYFUNCTION("""COMPUTED_VALUE"""),TRUE)</f>
        <v>1</v>
      </c>
      <c r="Q78" s="45" t="b">
        <f>IFERROR(__xludf.DUMMYFUNCTION("""COMPUTED_VALUE"""),TRUE)</f>
        <v>1</v>
      </c>
      <c r="R78" s="45" t="b">
        <f>IFERROR(__xludf.DUMMYFUNCTION("""COMPUTED_VALUE"""),TRUE)</f>
        <v>1</v>
      </c>
      <c r="S78" s="45" t="b">
        <f>IFERROR(__xludf.DUMMYFUNCTION("""COMPUTED_VALUE"""),TRUE)</f>
        <v>1</v>
      </c>
      <c r="T78" s="45"/>
      <c r="U78" s="45" t="b">
        <f>IFERROR(__xludf.DUMMYFUNCTION("""COMPUTED_VALUE"""),FALSE)</f>
        <v>0</v>
      </c>
      <c r="V78" s="45" t="b">
        <f>IFERROR(__xludf.DUMMYFUNCTION("""COMPUTED_VALUE"""),FALSE)</f>
        <v>0</v>
      </c>
      <c r="W78" s="45" t="b">
        <f>IFERROR(__xludf.DUMMYFUNCTION("""COMPUTED_VALUE"""),TRUE)</f>
        <v>1</v>
      </c>
      <c r="X78" s="45" t="b">
        <f>IFERROR(__xludf.DUMMYFUNCTION("""COMPUTED_VALUE"""),TRUE)</f>
        <v>1</v>
      </c>
      <c r="Y78" s="45" t="b">
        <f>IFERROR(__xludf.DUMMYFUNCTION("""COMPUTED_VALUE"""),TRUE)</f>
        <v>1</v>
      </c>
      <c r="Z78" s="45" t="b">
        <f>IFERROR(__xludf.DUMMYFUNCTION("""COMPUTED_VALUE"""),TRUE)</f>
        <v>1</v>
      </c>
      <c r="AA78" s="45" t="b">
        <f>IFERROR(__xludf.DUMMYFUNCTION("""COMPUTED_VALUE"""),TRUE)</f>
        <v>1</v>
      </c>
      <c r="AB78" s="45" t="b">
        <f>IFERROR(__xludf.DUMMYFUNCTION("""COMPUTED_VALUE"""),TRUE)</f>
        <v>1</v>
      </c>
      <c r="AC78" s="45" t="b">
        <f>IFERROR(__xludf.DUMMYFUNCTION("""COMPUTED_VALUE"""),TRUE)</f>
        <v>1</v>
      </c>
      <c r="AD78" s="45" t="b">
        <f>IFERROR(__xludf.DUMMYFUNCTION("""COMPUTED_VALUE"""),TRUE)</f>
        <v>1</v>
      </c>
      <c r="AE78" s="45" t="b">
        <f>IFERROR(__xludf.DUMMYFUNCTION("""COMPUTED_VALUE"""),TRUE)</f>
        <v>1</v>
      </c>
      <c r="AF78" s="45" t="b">
        <f>IFERROR(__xludf.DUMMYFUNCTION("""COMPUTED_VALUE"""),TRUE)</f>
        <v>1</v>
      </c>
    </row>
    <row r="79">
      <c r="A79" s="45" t="b">
        <v>0</v>
      </c>
      <c r="B79" s="45" t="str">
        <f>IFERROR(__xludf.DUMMYFUNCTION("""COMPUTED_VALUE"""),"Centipede")</f>
        <v>Centipede</v>
      </c>
      <c r="C79" s="45">
        <f>IFERROR(__xludf.DUMMYFUNCTION("""COMPUTED_VALUE"""),300.0)</f>
        <v>300</v>
      </c>
      <c r="D79" s="45" t="str">
        <f>IFERROR(__xludf.DUMMYFUNCTION("""COMPUTED_VALUE"""),"4 p.m. - 11 p.m.")</f>
        <v>4 p.m. - 11 p.m.</v>
      </c>
      <c r="E79" s="45" t="str">
        <f>IFERROR(__xludf.DUMMYFUNCTION("""COMPUTED_VALUE"""),"Hit rocks")</f>
        <v>Hit rocks</v>
      </c>
      <c r="F79" s="45"/>
      <c r="G79" s="45"/>
      <c r="H79" s="45" t="b">
        <f>IFERROR(__xludf.DUMMYFUNCTION("""COMPUTED_VALUE"""),TRUE)</f>
        <v>1</v>
      </c>
      <c r="I79" s="45" t="b">
        <f>IFERROR(__xludf.DUMMYFUNCTION("""COMPUTED_VALUE"""),TRUE)</f>
        <v>1</v>
      </c>
      <c r="J79" s="45" t="b">
        <f>IFERROR(__xludf.DUMMYFUNCTION("""COMPUTED_VALUE"""),TRUE)</f>
        <v>1</v>
      </c>
      <c r="K79" s="45" t="b">
        <f>IFERROR(__xludf.DUMMYFUNCTION("""COMPUTED_VALUE"""),TRUE)</f>
        <v>1</v>
      </c>
      <c r="L79" s="45" t="b">
        <f>IFERROR(__xludf.DUMMYFUNCTION("""COMPUTED_VALUE"""),TRUE)</f>
        <v>1</v>
      </c>
      <c r="M79" s="45" t="b">
        <f>IFERROR(__xludf.DUMMYFUNCTION("""COMPUTED_VALUE"""),TRUE)</f>
        <v>1</v>
      </c>
      <c r="N79" s="45" t="b">
        <f>IFERROR(__xludf.DUMMYFUNCTION("""COMPUTED_VALUE"""),FALSE)</f>
        <v>0</v>
      </c>
      <c r="O79" s="45" t="b">
        <f>IFERROR(__xludf.DUMMYFUNCTION("""COMPUTED_VALUE"""),FALSE)</f>
        <v>0</v>
      </c>
      <c r="P79" s="45" t="b">
        <f>IFERROR(__xludf.DUMMYFUNCTION("""COMPUTED_VALUE"""),TRUE)</f>
        <v>1</v>
      </c>
      <c r="Q79" s="45" t="b">
        <f>IFERROR(__xludf.DUMMYFUNCTION("""COMPUTED_VALUE"""),TRUE)</f>
        <v>1</v>
      </c>
      <c r="R79" s="45" t="b">
        <f>IFERROR(__xludf.DUMMYFUNCTION("""COMPUTED_VALUE"""),TRUE)</f>
        <v>1</v>
      </c>
      <c r="S79" s="45" t="b">
        <f>IFERROR(__xludf.DUMMYFUNCTION("""COMPUTED_VALUE"""),TRUE)</f>
        <v>1</v>
      </c>
      <c r="T79" s="45"/>
      <c r="U79" s="45" t="b">
        <f>IFERROR(__xludf.DUMMYFUNCTION("""COMPUTED_VALUE"""),FALSE)</f>
        <v>0</v>
      </c>
      <c r="V79" s="45" t="b">
        <f>IFERROR(__xludf.DUMMYFUNCTION("""COMPUTED_VALUE"""),FALSE)</f>
        <v>0</v>
      </c>
      <c r="W79" s="45" t="b">
        <f>IFERROR(__xludf.DUMMYFUNCTION("""COMPUTED_VALUE"""),TRUE)</f>
        <v>1</v>
      </c>
      <c r="X79" s="45" t="b">
        <f>IFERROR(__xludf.DUMMYFUNCTION("""COMPUTED_VALUE"""),TRUE)</f>
        <v>1</v>
      </c>
      <c r="Y79" s="45" t="b">
        <f>IFERROR(__xludf.DUMMYFUNCTION("""COMPUTED_VALUE"""),TRUE)</f>
        <v>1</v>
      </c>
      <c r="Z79" s="45" t="b">
        <f>IFERROR(__xludf.DUMMYFUNCTION("""COMPUTED_VALUE"""),TRUE)</f>
        <v>1</v>
      </c>
      <c r="AA79" s="45" t="b">
        <f>IFERROR(__xludf.DUMMYFUNCTION("""COMPUTED_VALUE"""),TRUE)</f>
        <v>1</v>
      </c>
      <c r="AB79" s="45" t="b">
        <f>IFERROR(__xludf.DUMMYFUNCTION("""COMPUTED_VALUE"""),TRUE)</f>
        <v>1</v>
      </c>
      <c r="AC79" s="45" t="b">
        <f>IFERROR(__xludf.DUMMYFUNCTION("""COMPUTED_VALUE"""),TRUE)</f>
        <v>1</v>
      </c>
      <c r="AD79" s="45" t="b">
        <f>IFERROR(__xludf.DUMMYFUNCTION("""COMPUTED_VALUE"""),TRUE)</f>
        <v>1</v>
      </c>
      <c r="AE79" s="45" t="b">
        <f>IFERROR(__xludf.DUMMYFUNCTION("""COMPUTED_VALUE"""),TRUE)</f>
        <v>1</v>
      </c>
      <c r="AF79" s="45" t="b">
        <f>IFERROR(__xludf.DUMMYFUNCTION("""COMPUTED_VALUE"""),TRUE)</f>
        <v>1</v>
      </c>
    </row>
    <row r="80">
      <c r="A80" s="45" t="b">
        <v>0</v>
      </c>
      <c r="B80" s="45" t="str">
        <f>IFERROR(__xludf.DUMMYFUNCTION("""COMPUTED_VALUE"""),"Spider")</f>
        <v>Spider</v>
      </c>
      <c r="C80" s="45">
        <f>IFERROR(__xludf.DUMMYFUNCTION("""COMPUTED_VALUE"""),480.0)</f>
        <v>480</v>
      </c>
      <c r="D80" s="45" t="str">
        <f>IFERROR(__xludf.DUMMYFUNCTION("""COMPUTED_VALUE"""),"7 p.m. - 8 a.m.")</f>
        <v>7 p.m. - 8 a.m.</v>
      </c>
      <c r="E80" s="45" t="str">
        <f>IFERROR(__xludf.DUMMYFUNCTION("""COMPUTED_VALUE"""),"Falls from shaking trees")</f>
        <v>Falls from shaking trees</v>
      </c>
      <c r="F80" s="45"/>
      <c r="G80" s="45"/>
      <c r="H80" s="45" t="b">
        <f>IFERROR(__xludf.DUMMYFUNCTION("""COMPUTED_VALUE"""),TRUE)</f>
        <v>1</v>
      </c>
      <c r="I80" s="45" t="b">
        <f>IFERROR(__xludf.DUMMYFUNCTION("""COMPUTED_VALUE"""),TRUE)</f>
        <v>1</v>
      </c>
      <c r="J80" s="45" t="b">
        <f>IFERROR(__xludf.DUMMYFUNCTION("""COMPUTED_VALUE"""),TRUE)</f>
        <v>1</v>
      </c>
      <c r="K80" s="45" t="b">
        <f>IFERROR(__xludf.DUMMYFUNCTION("""COMPUTED_VALUE"""),TRUE)</f>
        <v>1</v>
      </c>
      <c r="L80" s="45" t="b">
        <f>IFERROR(__xludf.DUMMYFUNCTION("""COMPUTED_VALUE"""),TRUE)</f>
        <v>1</v>
      </c>
      <c r="M80" s="45" t="b">
        <f>IFERROR(__xludf.DUMMYFUNCTION("""COMPUTED_VALUE"""),TRUE)</f>
        <v>1</v>
      </c>
      <c r="N80" s="45" t="b">
        <f>IFERROR(__xludf.DUMMYFUNCTION("""COMPUTED_VALUE"""),TRUE)</f>
        <v>1</v>
      </c>
      <c r="O80" s="45" t="b">
        <f>IFERROR(__xludf.DUMMYFUNCTION("""COMPUTED_VALUE"""),TRUE)</f>
        <v>1</v>
      </c>
      <c r="P80" s="45" t="b">
        <f>IFERROR(__xludf.DUMMYFUNCTION("""COMPUTED_VALUE"""),TRUE)</f>
        <v>1</v>
      </c>
      <c r="Q80" s="45" t="b">
        <f>IFERROR(__xludf.DUMMYFUNCTION("""COMPUTED_VALUE"""),TRUE)</f>
        <v>1</v>
      </c>
      <c r="R80" s="45" t="b">
        <f>IFERROR(__xludf.DUMMYFUNCTION("""COMPUTED_VALUE"""),TRUE)</f>
        <v>1</v>
      </c>
      <c r="S80" s="45" t="b">
        <f>IFERROR(__xludf.DUMMYFUNCTION("""COMPUTED_VALUE"""),TRUE)</f>
        <v>1</v>
      </c>
      <c r="T80" s="45"/>
      <c r="U80" s="45" t="b">
        <f>IFERROR(__xludf.DUMMYFUNCTION("""COMPUTED_VALUE"""),TRUE)</f>
        <v>1</v>
      </c>
      <c r="V80" s="45" t="b">
        <f>IFERROR(__xludf.DUMMYFUNCTION("""COMPUTED_VALUE"""),TRUE)</f>
        <v>1</v>
      </c>
      <c r="W80" s="45" t="b">
        <f>IFERROR(__xludf.DUMMYFUNCTION("""COMPUTED_VALUE"""),TRUE)</f>
        <v>1</v>
      </c>
      <c r="X80" s="45" t="b">
        <f>IFERROR(__xludf.DUMMYFUNCTION("""COMPUTED_VALUE"""),TRUE)</f>
        <v>1</v>
      </c>
      <c r="Y80" s="45" t="b">
        <f>IFERROR(__xludf.DUMMYFUNCTION("""COMPUTED_VALUE"""),TRUE)</f>
        <v>1</v>
      </c>
      <c r="Z80" s="45" t="b">
        <f>IFERROR(__xludf.DUMMYFUNCTION("""COMPUTED_VALUE"""),TRUE)</f>
        <v>1</v>
      </c>
      <c r="AA80" s="45" t="b">
        <f>IFERROR(__xludf.DUMMYFUNCTION("""COMPUTED_VALUE"""),TRUE)</f>
        <v>1</v>
      </c>
      <c r="AB80" s="45" t="b">
        <f>IFERROR(__xludf.DUMMYFUNCTION("""COMPUTED_VALUE"""),TRUE)</f>
        <v>1</v>
      </c>
      <c r="AC80" s="45" t="b">
        <f>IFERROR(__xludf.DUMMYFUNCTION("""COMPUTED_VALUE"""),TRUE)</f>
        <v>1</v>
      </c>
      <c r="AD80" s="45" t="b">
        <f>IFERROR(__xludf.DUMMYFUNCTION("""COMPUTED_VALUE"""),TRUE)</f>
        <v>1</v>
      </c>
      <c r="AE80" s="45" t="b">
        <f>IFERROR(__xludf.DUMMYFUNCTION("""COMPUTED_VALUE"""),TRUE)</f>
        <v>1</v>
      </c>
      <c r="AF80" s="45" t="b">
        <f>IFERROR(__xludf.DUMMYFUNCTION("""COMPUTED_VALUE"""),TRUE)</f>
        <v>1</v>
      </c>
    </row>
    <row r="81">
      <c r="A81" s="45" t="b">
        <v>0</v>
      </c>
      <c r="B81" s="45" t="str">
        <f>IFERROR(__xludf.DUMMYFUNCTION("""COMPUTED_VALUE"""),"Tarantula")</f>
        <v>Tarantula</v>
      </c>
      <c r="C81" s="45">
        <f>IFERROR(__xludf.DUMMYFUNCTION("""COMPUTED_VALUE"""),8000.0)</f>
        <v>8000</v>
      </c>
      <c r="D81" s="45" t="str">
        <f>IFERROR(__xludf.DUMMYFUNCTION("""COMPUTED_VALUE"""),"7 p.m. - 4 a.m.")</f>
        <v>7 p.m. - 4 a.m.</v>
      </c>
      <c r="E81" s="45" t="str">
        <f>IFERROR(__xludf.DUMMYFUNCTION("""COMPUTED_VALUE"""),"On ground")</f>
        <v>On ground</v>
      </c>
      <c r="F81" s="45"/>
      <c r="G81" s="45"/>
      <c r="H81" s="45" t="b">
        <f>IFERROR(__xludf.DUMMYFUNCTION("""COMPUTED_VALUE"""),TRUE)</f>
        <v>1</v>
      </c>
      <c r="I81" s="45" t="b">
        <f>IFERROR(__xludf.DUMMYFUNCTION("""COMPUTED_VALUE"""),TRUE)</f>
        <v>1</v>
      </c>
      <c r="J81" s="45" t="b">
        <f>IFERROR(__xludf.DUMMYFUNCTION("""COMPUTED_VALUE"""),TRUE)</f>
        <v>1</v>
      </c>
      <c r="K81" s="45" t="b">
        <f>IFERROR(__xludf.DUMMYFUNCTION("""COMPUTED_VALUE"""),TRUE)</f>
        <v>1</v>
      </c>
      <c r="L81" s="45" t="b">
        <f>IFERROR(__xludf.DUMMYFUNCTION("""COMPUTED_VALUE"""),FALSE)</f>
        <v>0</v>
      </c>
      <c r="M81" s="45" t="b">
        <f>IFERROR(__xludf.DUMMYFUNCTION("""COMPUTED_VALUE"""),FALSE)</f>
        <v>0</v>
      </c>
      <c r="N81" s="45" t="b">
        <f>IFERROR(__xludf.DUMMYFUNCTION("""COMPUTED_VALUE"""),FALSE)</f>
        <v>0</v>
      </c>
      <c r="O81" s="45" t="b">
        <f>IFERROR(__xludf.DUMMYFUNCTION("""COMPUTED_VALUE"""),FALSE)</f>
        <v>0</v>
      </c>
      <c r="P81" s="45" t="b">
        <f>IFERROR(__xludf.DUMMYFUNCTION("""COMPUTED_VALUE"""),FALSE)</f>
        <v>0</v>
      </c>
      <c r="Q81" s="45" t="b">
        <f>IFERROR(__xludf.DUMMYFUNCTION("""COMPUTED_VALUE"""),FALSE)</f>
        <v>0</v>
      </c>
      <c r="R81" s="45" t="b">
        <f>IFERROR(__xludf.DUMMYFUNCTION("""COMPUTED_VALUE"""),TRUE)</f>
        <v>1</v>
      </c>
      <c r="S81" s="45" t="b">
        <f>IFERROR(__xludf.DUMMYFUNCTION("""COMPUTED_VALUE"""),TRUE)</f>
        <v>1</v>
      </c>
      <c r="T81" s="45"/>
      <c r="U81" s="45" t="b">
        <f>IFERROR(__xludf.DUMMYFUNCTION("""COMPUTED_VALUE"""),FALSE)</f>
        <v>0</v>
      </c>
      <c r="V81" s="45" t="b">
        <f>IFERROR(__xludf.DUMMYFUNCTION("""COMPUTED_VALUE"""),FALSE)</f>
        <v>0</v>
      </c>
      <c r="W81" s="45" t="b">
        <f>IFERROR(__xludf.DUMMYFUNCTION("""COMPUTED_VALUE"""),FALSE)</f>
        <v>0</v>
      </c>
      <c r="X81" s="45" t="b">
        <f>IFERROR(__xludf.DUMMYFUNCTION("""COMPUTED_VALUE"""),FALSE)</f>
        <v>0</v>
      </c>
      <c r="Y81" s="45" t="b">
        <f>IFERROR(__xludf.DUMMYFUNCTION("""COMPUTED_VALUE"""),TRUE)</f>
        <v>1</v>
      </c>
      <c r="Z81" s="45" t="b">
        <f>IFERROR(__xludf.DUMMYFUNCTION("""COMPUTED_VALUE"""),TRUE)</f>
        <v>1</v>
      </c>
      <c r="AA81" s="45" t="b">
        <f>IFERROR(__xludf.DUMMYFUNCTION("""COMPUTED_VALUE"""),TRUE)</f>
        <v>1</v>
      </c>
      <c r="AB81" s="45" t="b">
        <f>IFERROR(__xludf.DUMMYFUNCTION("""COMPUTED_VALUE"""),TRUE)</f>
        <v>1</v>
      </c>
      <c r="AC81" s="45" t="b">
        <f>IFERROR(__xludf.DUMMYFUNCTION("""COMPUTED_VALUE"""),TRUE)</f>
        <v>1</v>
      </c>
      <c r="AD81" s="45" t="b">
        <f>IFERROR(__xludf.DUMMYFUNCTION("""COMPUTED_VALUE"""),TRUE)</f>
        <v>1</v>
      </c>
      <c r="AE81" s="45" t="b">
        <f>IFERROR(__xludf.DUMMYFUNCTION("""COMPUTED_VALUE"""),FALSE)</f>
        <v>0</v>
      </c>
      <c r="AF81" s="45" t="b">
        <f>IFERROR(__xludf.DUMMYFUNCTION("""COMPUTED_VALUE"""),FALSE)</f>
        <v>0</v>
      </c>
    </row>
    <row r="82">
      <c r="A82" s="45" t="b">
        <v>0</v>
      </c>
      <c r="B82" s="45" t="str">
        <f>IFERROR(__xludf.DUMMYFUNCTION("""COMPUTED_VALUE"""),"Scorpion")</f>
        <v>Scorpion</v>
      </c>
      <c r="C82" s="45">
        <f>IFERROR(__xludf.DUMMYFUNCTION("""COMPUTED_VALUE"""),8000.0)</f>
        <v>8000</v>
      </c>
      <c r="D82" s="45" t="str">
        <f>IFERROR(__xludf.DUMMYFUNCTION("""COMPUTED_VALUE"""),"7 p.m. - 4 a.m.")</f>
        <v>7 p.m. - 4 a.m.</v>
      </c>
      <c r="E82" s="45" t="str">
        <f>IFERROR(__xludf.DUMMYFUNCTION("""COMPUTED_VALUE"""),"On ground")</f>
        <v>On ground</v>
      </c>
      <c r="F82" s="45"/>
      <c r="G82" s="45"/>
      <c r="H82" s="45" t="b">
        <f>IFERROR(__xludf.DUMMYFUNCTION("""COMPUTED_VALUE"""),FALSE)</f>
        <v>0</v>
      </c>
      <c r="I82" s="45" t="b">
        <f>IFERROR(__xludf.DUMMYFUNCTION("""COMPUTED_VALUE"""),FALSE)</f>
        <v>0</v>
      </c>
      <c r="J82" s="45" t="b">
        <f>IFERROR(__xludf.DUMMYFUNCTION("""COMPUTED_VALUE"""),FALSE)</f>
        <v>0</v>
      </c>
      <c r="K82" s="45" t="b">
        <f>IFERROR(__xludf.DUMMYFUNCTION("""COMPUTED_VALUE"""),FALSE)</f>
        <v>0</v>
      </c>
      <c r="L82" s="45" t="b">
        <f>IFERROR(__xludf.DUMMYFUNCTION("""COMPUTED_VALUE"""),TRUE)</f>
        <v>1</v>
      </c>
      <c r="M82" s="45" t="b">
        <f>IFERROR(__xludf.DUMMYFUNCTION("""COMPUTED_VALUE"""),TRUE)</f>
        <v>1</v>
      </c>
      <c r="N82" s="45" t="b">
        <f>IFERROR(__xludf.DUMMYFUNCTION("""COMPUTED_VALUE"""),TRUE)</f>
        <v>1</v>
      </c>
      <c r="O82" s="45" t="b">
        <f>IFERROR(__xludf.DUMMYFUNCTION("""COMPUTED_VALUE"""),TRUE)</f>
        <v>1</v>
      </c>
      <c r="P82" s="45" t="b">
        <f>IFERROR(__xludf.DUMMYFUNCTION("""COMPUTED_VALUE"""),TRUE)</f>
        <v>1</v>
      </c>
      <c r="Q82" s="45" t="b">
        <f>IFERROR(__xludf.DUMMYFUNCTION("""COMPUTED_VALUE"""),TRUE)</f>
        <v>1</v>
      </c>
      <c r="R82" s="45" t="b">
        <f>IFERROR(__xludf.DUMMYFUNCTION("""COMPUTED_VALUE"""),FALSE)</f>
        <v>0</v>
      </c>
      <c r="S82" s="45" t="b">
        <f>IFERROR(__xludf.DUMMYFUNCTION("""COMPUTED_VALUE"""),FALSE)</f>
        <v>0</v>
      </c>
      <c r="T82" s="45"/>
      <c r="U82" s="45" t="b">
        <f>IFERROR(__xludf.DUMMYFUNCTION("""COMPUTED_VALUE"""),TRUE)</f>
        <v>1</v>
      </c>
      <c r="V82" s="45" t="b">
        <f>IFERROR(__xludf.DUMMYFUNCTION("""COMPUTED_VALUE"""),TRUE)</f>
        <v>1</v>
      </c>
      <c r="W82" s="45" t="b">
        <f>IFERROR(__xludf.DUMMYFUNCTION("""COMPUTED_VALUE"""),TRUE)</f>
        <v>1</v>
      </c>
      <c r="X82" s="45" t="b">
        <f>IFERROR(__xludf.DUMMYFUNCTION("""COMPUTED_VALUE"""),TRUE)</f>
        <v>1</v>
      </c>
      <c r="Y82" s="45" t="b">
        <f>IFERROR(__xludf.DUMMYFUNCTION("""COMPUTED_VALUE"""),FALSE)</f>
        <v>0</v>
      </c>
      <c r="Z82" s="45" t="b">
        <f>IFERROR(__xludf.DUMMYFUNCTION("""COMPUTED_VALUE"""),FALSE)</f>
        <v>0</v>
      </c>
      <c r="AA82" s="45" t="b">
        <f>IFERROR(__xludf.DUMMYFUNCTION("""COMPUTED_VALUE"""),FALSE)</f>
        <v>0</v>
      </c>
      <c r="AB82" s="45" t="b">
        <f>IFERROR(__xludf.DUMMYFUNCTION("""COMPUTED_VALUE"""),FALSE)</f>
        <v>0</v>
      </c>
      <c r="AC82" s="45" t="b">
        <f>IFERROR(__xludf.DUMMYFUNCTION("""COMPUTED_VALUE"""),FALSE)</f>
        <v>0</v>
      </c>
      <c r="AD82" s="45" t="b">
        <f>IFERROR(__xludf.DUMMYFUNCTION("""COMPUTED_VALUE"""),FALSE)</f>
        <v>0</v>
      </c>
      <c r="AE82" s="45" t="b">
        <f>IFERROR(__xludf.DUMMYFUNCTION("""COMPUTED_VALUE"""),TRUE)</f>
        <v>1</v>
      </c>
      <c r="AF82" s="45" t="b">
        <f>IFERROR(__xludf.DUMMYFUNCTION("""COMPUTED_VALUE"""),TRUE)</f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17</v>
      </c>
      <c r="B1" s="25">
        <v>2.2</v>
      </c>
    </row>
    <row r="3">
      <c r="A3" s="2" t="s">
        <v>18</v>
      </c>
      <c r="B3" s="2"/>
    </row>
    <row r="4">
      <c r="A4" s="46">
        <v>1.2</v>
      </c>
      <c r="B4" s="47" t="s">
        <v>19</v>
      </c>
    </row>
    <row r="5">
      <c r="A5" s="25">
        <v>2.1</v>
      </c>
      <c r="B5" s="25" t="s">
        <v>20</v>
      </c>
    </row>
    <row r="6">
      <c r="A6" s="25">
        <v>2.2</v>
      </c>
      <c r="B6" s="25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5.88"/>
    <col customWidth="1" min="3" max="3" width="6.0"/>
    <col customWidth="1" min="4" max="4" width="36.0"/>
    <col customWidth="1" min="5" max="29" width="3.88"/>
  </cols>
  <sheetData>
    <row r="1">
      <c r="B1" s="45" t="str">
        <f>IFERROR(__xludf.DUMMYFUNCTION("IMPORTRANGE(""https://docs.google.com/spreadsheets/d/1DIFDg8sxRsO_mx-2ULzkZ9260v75e-pcuO51Wqdb05I/edit"", ""Sea Creatures!B1:AC"")"),"")</f>
        <v/>
      </c>
      <c r="C1" s="45"/>
      <c r="D1" s="45"/>
      <c r="E1" s="45" t="str">
        <f>IFERROR(__xludf.DUMMYFUNCTION("""COMPUTED_VALUE"""),"Northern Hemisphere")</f>
        <v>Northern Hemisphere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 t="str">
        <f>IFERROR(__xludf.DUMMYFUNCTION("""COMPUTED_VALUE"""),"Southern Hemisphere")</f>
        <v>Southern Hemisphere</v>
      </c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B2" s="45"/>
      <c r="C2" s="45"/>
      <c r="D2" s="45"/>
      <c r="E2" s="45" t="str">
        <f>IFERROR(__xludf.DUMMYFUNCTION("""COMPUTED_VALUE"""),"Jan")</f>
        <v>Jan</v>
      </c>
      <c r="F2" s="45" t="str">
        <f>IFERROR(__xludf.DUMMYFUNCTION("""COMPUTED_VALUE"""),"Feb")</f>
        <v>Feb</v>
      </c>
      <c r="G2" s="45" t="str">
        <f>IFERROR(__xludf.DUMMYFUNCTION("""COMPUTED_VALUE"""),"Mar")</f>
        <v>Mar</v>
      </c>
      <c r="H2" s="45" t="str">
        <f>IFERROR(__xludf.DUMMYFUNCTION("""COMPUTED_VALUE"""),"Apr")</f>
        <v>Apr</v>
      </c>
      <c r="I2" s="45" t="str">
        <f>IFERROR(__xludf.DUMMYFUNCTION("""COMPUTED_VALUE"""),"May")</f>
        <v>May</v>
      </c>
      <c r="J2" s="45" t="str">
        <f>IFERROR(__xludf.DUMMYFUNCTION("""COMPUTED_VALUE"""),"June")</f>
        <v>June</v>
      </c>
      <c r="K2" s="45" t="str">
        <f>IFERROR(__xludf.DUMMYFUNCTION("""COMPUTED_VALUE"""),"July")</f>
        <v>July</v>
      </c>
      <c r="L2" s="45" t="str">
        <f>IFERROR(__xludf.DUMMYFUNCTION("""COMPUTED_VALUE"""),"Aug")</f>
        <v>Aug</v>
      </c>
      <c r="M2" s="45" t="str">
        <f>IFERROR(__xludf.DUMMYFUNCTION("""COMPUTED_VALUE"""),"Sept")</f>
        <v>Sept</v>
      </c>
      <c r="N2" s="45" t="str">
        <f>IFERROR(__xludf.DUMMYFUNCTION("""COMPUTED_VALUE"""),"Oct")</f>
        <v>Oct</v>
      </c>
      <c r="O2" s="45" t="str">
        <f>IFERROR(__xludf.DUMMYFUNCTION("""COMPUTED_VALUE"""),"Nov")</f>
        <v>Nov</v>
      </c>
      <c r="P2" s="45" t="str">
        <f>IFERROR(__xludf.DUMMYFUNCTION("""COMPUTED_VALUE"""),"Dec")</f>
        <v>Dec</v>
      </c>
      <c r="Q2" s="45"/>
      <c r="R2" s="45" t="str">
        <f>IFERROR(__xludf.DUMMYFUNCTION("""COMPUTED_VALUE"""),"Jan")</f>
        <v>Jan</v>
      </c>
      <c r="S2" s="45" t="str">
        <f>IFERROR(__xludf.DUMMYFUNCTION("""COMPUTED_VALUE"""),"Feb")</f>
        <v>Feb</v>
      </c>
      <c r="T2" s="45" t="str">
        <f>IFERROR(__xludf.DUMMYFUNCTION("""COMPUTED_VALUE"""),"Mar")</f>
        <v>Mar</v>
      </c>
      <c r="U2" s="45" t="str">
        <f>IFERROR(__xludf.DUMMYFUNCTION("""COMPUTED_VALUE"""),"Apr")</f>
        <v>Apr</v>
      </c>
      <c r="V2" s="45" t="str">
        <f>IFERROR(__xludf.DUMMYFUNCTION("""COMPUTED_VALUE"""),"May")</f>
        <v>May</v>
      </c>
      <c r="W2" s="45" t="str">
        <f>IFERROR(__xludf.DUMMYFUNCTION("""COMPUTED_VALUE"""),"June")</f>
        <v>June</v>
      </c>
      <c r="X2" s="45" t="str">
        <f>IFERROR(__xludf.DUMMYFUNCTION("""COMPUTED_VALUE"""),"July")</f>
        <v>July</v>
      </c>
      <c r="Y2" s="45" t="str">
        <f>IFERROR(__xludf.DUMMYFUNCTION("""COMPUTED_VALUE"""),"Aug")</f>
        <v>Aug</v>
      </c>
      <c r="Z2" s="45" t="str">
        <f>IFERROR(__xludf.DUMMYFUNCTION("""COMPUTED_VALUE"""),"Sept")</f>
        <v>Sept</v>
      </c>
      <c r="AA2" s="45" t="str">
        <f>IFERROR(__xludf.DUMMYFUNCTION("""COMPUTED_VALUE"""),"Oct")</f>
        <v>Oct</v>
      </c>
      <c r="AB2" s="45" t="str">
        <f>IFERROR(__xludf.DUMMYFUNCTION("""COMPUTED_VALUE"""),"Nov")</f>
        <v>Nov</v>
      </c>
      <c r="AC2" s="45" t="str">
        <f>IFERROR(__xludf.DUMMYFUNCTION("""COMPUTED_VALUE"""),"Dec")</f>
        <v>Dec</v>
      </c>
    </row>
    <row r="3">
      <c r="A3" s="25" t="b">
        <v>0</v>
      </c>
      <c r="B3" s="45" t="str">
        <f>IFERROR(__xludf.DUMMYFUNCTION("""COMPUTED_VALUE"""),"Seaweed")</f>
        <v>Seaweed</v>
      </c>
      <c r="C3" s="45">
        <f>IFERROR(__xludf.DUMMYFUNCTION("""COMPUTED_VALUE"""),600.0)</f>
        <v>600</v>
      </c>
      <c r="D3" s="45" t="str">
        <f>IFERROR(__xludf.DUMMYFUNCTION("""COMPUTED_VALUE"""),"All day")</f>
        <v>All day</v>
      </c>
      <c r="E3" s="45" t="b">
        <f>IFERROR(__xludf.DUMMYFUNCTION("""COMPUTED_VALUE"""),TRUE)</f>
        <v>1</v>
      </c>
      <c r="F3" s="45" t="b">
        <f>IFERROR(__xludf.DUMMYFUNCTION("""COMPUTED_VALUE"""),TRUE)</f>
        <v>1</v>
      </c>
      <c r="G3" s="45" t="b">
        <f>IFERROR(__xludf.DUMMYFUNCTION("""COMPUTED_VALUE"""),TRUE)</f>
        <v>1</v>
      </c>
      <c r="H3" s="45" t="b">
        <f>IFERROR(__xludf.DUMMYFUNCTION("""COMPUTED_VALUE"""),TRUE)</f>
        <v>1</v>
      </c>
      <c r="I3" s="45" t="b">
        <f>IFERROR(__xludf.DUMMYFUNCTION("""COMPUTED_VALUE"""),TRUE)</f>
        <v>1</v>
      </c>
      <c r="J3" s="45" t="b">
        <f>IFERROR(__xludf.DUMMYFUNCTION("""COMPUTED_VALUE"""),TRUE)</f>
        <v>1</v>
      </c>
      <c r="K3" s="45" t="b">
        <f>IFERROR(__xludf.DUMMYFUNCTION("""COMPUTED_VALUE"""),TRUE)</f>
        <v>1</v>
      </c>
      <c r="L3" s="45" t="b">
        <f>IFERROR(__xludf.DUMMYFUNCTION("""COMPUTED_VALUE"""),FALSE)</f>
        <v>0</v>
      </c>
      <c r="M3" s="45" t="b">
        <f>IFERROR(__xludf.DUMMYFUNCTION("""COMPUTED_VALUE"""),FALSE)</f>
        <v>0</v>
      </c>
      <c r="N3" s="45" t="b">
        <f>IFERROR(__xludf.DUMMYFUNCTION("""COMPUTED_VALUE"""),TRUE)</f>
        <v>1</v>
      </c>
      <c r="O3" s="45" t="b">
        <f>IFERROR(__xludf.DUMMYFUNCTION("""COMPUTED_VALUE"""),TRUE)</f>
        <v>1</v>
      </c>
      <c r="P3" s="45" t="b">
        <f>IFERROR(__xludf.DUMMYFUNCTION("""COMPUTED_VALUE"""),TRUE)</f>
        <v>1</v>
      </c>
      <c r="Q3" s="45"/>
      <c r="R3" s="45" t="b">
        <f>IFERROR(__xludf.DUMMYFUNCTION("""COMPUTED_VALUE"""),TRUE)</f>
        <v>1</v>
      </c>
      <c r="S3" s="45" t="b">
        <f>IFERROR(__xludf.DUMMYFUNCTION("""COMPUTED_VALUE"""),FALSE)</f>
        <v>0</v>
      </c>
      <c r="T3" s="45" t="b">
        <f>IFERROR(__xludf.DUMMYFUNCTION("""COMPUTED_VALUE"""),FALSE)</f>
        <v>0</v>
      </c>
      <c r="U3" s="45" t="b">
        <f>IFERROR(__xludf.DUMMYFUNCTION("""COMPUTED_VALUE"""),TRUE)</f>
        <v>1</v>
      </c>
      <c r="V3" s="45" t="b">
        <f>IFERROR(__xludf.DUMMYFUNCTION("""COMPUTED_VALUE"""),TRUE)</f>
        <v>1</v>
      </c>
      <c r="W3" s="45" t="b">
        <f>IFERROR(__xludf.DUMMYFUNCTION("""COMPUTED_VALUE"""),TRUE)</f>
        <v>1</v>
      </c>
      <c r="X3" s="45" t="b">
        <f>IFERROR(__xludf.DUMMYFUNCTION("""COMPUTED_VALUE"""),TRUE)</f>
        <v>1</v>
      </c>
      <c r="Y3" s="45" t="b">
        <f>IFERROR(__xludf.DUMMYFUNCTION("""COMPUTED_VALUE"""),TRUE)</f>
        <v>1</v>
      </c>
      <c r="Z3" s="45" t="b">
        <f>IFERROR(__xludf.DUMMYFUNCTION("""COMPUTED_VALUE"""),TRUE)</f>
        <v>1</v>
      </c>
      <c r="AA3" s="45" t="b">
        <f>IFERROR(__xludf.DUMMYFUNCTION("""COMPUTED_VALUE"""),TRUE)</f>
        <v>1</v>
      </c>
      <c r="AB3" s="45" t="b">
        <f>IFERROR(__xludf.DUMMYFUNCTION("""COMPUTED_VALUE"""),TRUE)</f>
        <v>1</v>
      </c>
      <c r="AC3" s="45" t="b">
        <f>IFERROR(__xludf.DUMMYFUNCTION("""COMPUTED_VALUE"""),TRUE)</f>
        <v>1</v>
      </c>
    </row>
    <row r="4">
      <c r="A4" s="25" t="b">
        <v>0</v>
      </c>
      <c r="B4" s="45" t="str">
        <f>IFERROR(__xludf.DUMMYFUNCTION("""COMPUTED_VALUE"""),"Sea grapes")</f>
        <v>Sea grapes</v>
      </c>
      <c r="C4" s="45">
        <f>IFERROR(__xludf.DUMMYFUNCTION("""COMPUTED_VALUE"""),900.0)</f>
        <v>900</v>
      </c>
      <c r="D4" s="45" t="str">
        <f>IFERROR(__xludf.DUMMYFUNCTION("""COMPUTED_VALUE"""),"All day")</f>
        <v>All day</v>
      </c>
      <c r="E4" s="45" t="b">
        <f>IFERROR(__xludf.DUMMYFUNCTION("""COMPUTED_VALUE"""),FALSE)</f>
        <v>0</v>
      </c>
      <c r="F4" s="45" t="b">
        <f>IFERROR(__xludf.DUMMYFUNCTION("""COMPUTED_VALUE"""),FALSE)</f>
        <v>0</v>
      </c>
      <c r="G4" s="45" t="b">
        <f>IFERROR(__xludf.DUMMYFUNCTION("""COMPUTED_VALUE"""),FALSE)</f>
        <v>0</v>
      </c>
      <c r="H4" s="45" t="b">
        <f>IFERROR(__xludf.DUMMYFUNCTION("""COMPUTED_VALUE"""),FALSE)</f>
        <v>0</v>
      </c>
      <c r="I4" s="45" t="b">
        <f>IFERROR(__xludf.DUMMYFUNCTION("""COMPUTED_VALUE"""),FALSE)</f>
        <v>0</v>
      </c>
      <c r="J4" s="45" t="b">
        <f>IFERROR(__xludf.DUMMYFUNCTION("""COMPUTED_VALUE"""),TRUE)</f>
        <v>1</v>
      </c>
      <c r="K4" s="45" t="b">
        <f>IFERROR(__xludf.DUMMYFUNCTION("""COMPUTED_VALUE"""),TRUE)</f>
        <v>1</v>
      </c>
      <c r="L4" s="45" t="b">
        <f>IFERROR(__xludf.DUMMYFUNCTION("""COMPUTED_VALUE"""),TRUE)</f>
        <v>1</v>
      </c>
      <c r="M4" s="45" t="b">
        <f>IFERROR(__xludf.DUMMYFUNCTION("""COMPUTED_VALUE"""),TRUE)</f>
        <v>1</v>
      </c>
      <c r="N4" s="45" t="b">
        <f>IFERROR(__xludf.DUMMYFUNCTION("""COMPUTED_VALUE"""),FALSE)</f>
        <v>0</v>
      </c>
      <c r="O4" s="45" t="b">
        <f>IFERROR(__xludf.DUMMYFUNCTION("""COMPUTED_VALUE"""),FALSE)</f>
        <v>0</v>
      </c>
      <c r="P4" s="45" t="b">
        <f>IFERROR(__xludf.DUMMYFUNCTION("""COMPUTED_VALUE"""),FALSE)</f>
        <v>0</v>
      </c>
      <c r="Q4" s="45"/>
      <c r="R4" s="45" t="b">
        <f>IFERROR(__xludf.DUMMYFUNCTION("""COMPUTED_VALUE"""),TRUE)</f>
        <v>1</v>
      </c>
      <c r="S4" s="45" t="b">
        <f>IFERROR(__xludf.DUMMYFUNCTION("""COMPUTED_VALUE"""),TRUE)</f>
        <v>1</v>
      </c>
      <c r="T4" s="45" t="b">
        <f>IFERROR(__xludf.DUMMYFUNCTION("""COMPUTED_VALUE"""),TRUE)</f>
        <v>1</v>
      </c>
      <c r="U4" s="45" t="b">
        <f>IFERROR(__xludf.DUMMYFUNCTION("""COMPUTED_VALUE"""),FALSE)</f>
        <v>0</v>
      </c>
      <c r="V4" s="45" t="b">
        <f>IFERROR(__xludf.DUMMYFUNCTION("""COMPUTED_VALUE"""),FALSE)</f>
        <v>0</v>
      </c>
      <c r="W4" s="45" t="b">
        <f>IFERROR(__xludf.DUMMYFUNCTION("""COMPUTED_VALUE"""),FALSE)</f>
        <v>0</v>
      </c>
      <c r="X4" s="45" t="b">
        <f>IFERROR(__xludf.DUMMYFUNCTION("""COMPUTED_VALUE"""),FALSE)</f>
        <v>0</v>
      </c>
      <c r="Y4" s="45" t="b">
        <f>IFERROR(__xludf.DUMMYFUNCTION("""COMPUTED_VALUE"""),FALSE)</f>
        <v>0</v>
      </c>
      <c r="Z4" s="45" t="b">
        <f>IFERROR(__xludf.DUMMYFUNCTION("""COMPUTED_VALUE"""),FALSE)</f>
        <v>0</v>
      </c>
      <c r="AA4" s="45" t="b">
        <f>IFERROR(__xludf.DUMMYFUNCTION("""COMPUTED_VALUE"""),FALSE)</f>
        <v>0</v>
      </c>
      <c r="AB4" s="45" t="b">
        <f>IFERROR(__xludf.DUMMYFUNCTION("""COMPUTED_VALUE"""),FALSE)</f>
        <v>0</v>
      </c>
      <c r="AC4" s="45" t="b">
        <f>IFERROR(__xludf.DUMMYFUNCTION("""COMPUTED_VALUE"""),TRUE)</f>
        <v>1</v>
      </c>
    </row>
    <row r="5">
      <c r="A5" s="25" t="b">
        <v>0</v>
      </c>
      <c r="B5" s="45" t="str">
        <f>IFERROR(__xludf.DUMMYFUNCTION("""COMPUTED_VALUE"""),"Sea cucumber")</f>
        <v>Sea cucumber</v>
      </c>
      <c r="C5" s="45">
        <f>IFERROR(__xludf.DUMMYFUNCTION("""COMPUTED_VALUE"""),500.0)</f>
        <v>500</v>
      </c>
      <c r="D5" s="45" t="str">
        <f>IFERROR(__xludf.DUMMYFUNCTION("""COMPUTED_VALUE"""),"All day")</f>
        <v>All day</v>
      </c>
      <c r="E5" s="45" t="b">
        <f>IFERROR(__xludf.DUMMYFUNCTION("""COMPUTED_VALUE"""),TRUE)</f>
        <v>1</v>
      </c>
      <c r="F5" s="45" t="b">
        <f>IFERROR(__xludf.DUMMYFUNCTION("""COMPUTED_VALUE"""),TRUE)</f>
        <v>1</v>
      </c>
      <c r="G5" s="45" t="b">
        <f>IFERROR(__xludf.DUMMYFUNCTION("""COMPUTED_VALUE"""),TRUE)</f>
        <v>1</v>
      </c>
      <c r="H5" s="45" t="b">
        <f>IFERROR(__xludf.DUMMYFUNCTION("""COMPUTED_VALUE"""),TRUE)</f>
        <v>1</v>
      </c>
      <c r="I5" s="45" t="b">
        <f>IFERROR(__xludf.DUMMYFUNCTION("""COMPUTED_VALUE"""),FALSE)</f>
        <v>0</v>
      </c>
      <c r="J5" s="45" t="b">
        <f>IFERROR(__xludf.DUMMYFUNCTION("""COMPUTED_VALUE"""),FALSE)</f>
        <v>0</v>
      </c>
      <c r="K5" s="45" t="b">
        <f>IFERROR(__xludf.DUMMYFUNCTION("""COMPUTED_VALUE"""),FALSE)</f>
        <v>0</v>
      </c>
      <c r="L5" s="45" t="b">
        <f>IFERROR(__xludf.DUMMYFUNCTION("""COMPUTED_VALUE"""),FALSE)</f>
        <v>0</v>
      </c>
      <c r="M5" s="45" t="b">
        <f>IFERROR(__xludf.DUMMYFUNCTION("""COMPUTED_VALUE"""),FALSE)</f>
        <v>0</v>
      </c>
      <c r="N5" s="45" t="b">
        <f>IFERROR(__xludf.DUMMYFUNCTION("""COMPUTED_VALUE"""),FALSE)</f>
        <v>0</v>
      </c>
      <c r="O5" s="45" t="b">
        <f>IFERROR(__xludf.DUMMYFUNCTION("""COMPUTED_VALUE"""),TRUE)</f>
        <v>1</v>
      </c>
      <c r="P5" s="45" t="b">
        <f>IFERROR(__xludf.DUMMYFUNCTION("""COMPUTED_VALUE"""),TRUE)</f>
        <v>1</v>
      </c>
      <c r="Q5" s="45"/>
      <c r="R5" s="45" t="b">
        <f>IFERROR(__xludf.DUMMYFUNCTION("""COMPUTED_VALUE"""),FALSE)</f>
        <v>0</v>
      </c>
      <c r="S5" s="45" t="b">
        <f>IFERROR(__xludf.DUMMYFUNCTION("""COMPUTED_VALUE"""),FALSE)</f>
        <v>0</v>
      </c>
      <c r="T5" s="45" t="b">
        <f>IFERROR(__xludf.DUMMYFUNCTION("""COMPUTED_VALUE"""),FALSE)</f>
        <v>0</v>
      </c>
      <c r="U5" s="45" t="b">
        <f>IFERROR(__xludf.DUMMYFUNCTION("""COMPUTED_VALUE"""),FALSE)</f>
        <v>0</v>
      </c>
      <c r="V5" s="45" t="b">
        <f>IFERROR(__xludf.DUMMYFUNCTION("""COMPUTED_VALUE"""),TRUE)</f>
        <v>1</v>
      </c>
      <c r="W5" s="45" t="b">
        <f>IFERROR(__xludf.DUMMYFUNCTION("""COMPUTED_VALUE"""),TRUE)</f>
        <v>1</v>
      </c>
      <c r="X5" s="45" t="b">
        <f>IFERROR(__xludf.DUMMYFUNCTION("""COMPUTED_VALUE"""),TRUE)</f>
        <v>1</v>
      </c>
      <c r="Y5" s="45" t="b">
        <f>IFERROR(__xludf.DUMMYFUNCTION("""COMPUTED_VALUE"""),TRUE)</f>
        <v>1</v>
      </c>
      <c r="Z5" s="45" t="b">
        <f>IFERROR(__xludf.DUMMYFUNCTION("""COMPUTED_VALUE"""),TRUE)</f>
        <v>1</v>
      </c>
      <c r="AA5" s="45" t="b">
        <f>IFERROR(__xludf.DUMMYFUNCTION("""COMPUTED_VALUE"""),TRUE)</f>
        <v>1</v>
      </c>
      <c r="AB5" s="45" t="b">
        <f>IFERROR(__xludf.DUMMYFUNCTION("""COMPUTED_VALUE"""),FALSE)</f>
        <v>0</v>
      </c>
      <c r="AC5" s="45" t="b">
        <f>IFERROR(__xludf.DUMMYFUNCTION("""COMPUTED_VALUE"""),FALSE)</f>
        <v>0</v>
      </c>
    </row>
    <row r="6">
      <c r="A6" s="25" t="b">
        <v>0</v>
      </c>
      <c r="B6" s="45" t="str">
        <f>IFERROR(__xludf.DUMMYFUNCTION("""COMPUTED_VALUE"""),"Sea pig")</f>
        <v>Sea pig</v>
      </c>
      <c r="C6" s="48">
        <f>IFERROR(__xludf.DUMMYFUNCTION("""COMPUTED_VALUE"""),10000.0)</f>
        <v>10000</v>
      </c>
      <c r="D6" s="45" t="str">
        <f>IFERROR(__xludf.DUMMYFUNCTION("""COMPUTED_VALUE"""),"4 p.m. - 9 a .m.")</f>
        <v>4 p.m. - 9 a .m.</v>
      </c>
      <c r="E6" s="45" t="b">
        <f>IFERROR(__xludf.DUMMYFUNCTION("""COMPUTED_VALUE"""),TRUE)</f>
        <v>1</v>
      </c>
      <c r="F6" s="45" t="b">
        <f>IFERROR(__xludf.DUMMYFUNCTION("""COMPUTED_VALUE"""),TRUE)</f>
        <v>1</v>
      </c>
      <c r="G6" s="45" t="b">
        <f>IFERROR(__xludf.DUMMYFUNCTION("""COMPUTED_VALUE"""),FALSE)</f>
        <v>0</v>
      </c>
      <c r="H6" s="45" t="b">
        <f>IFERROR(__xludf.DUMMYFUNCTION("""COMPUTED_VALUE"""),FALSE)</f>
        <v>0</v>
      </c>
      <c r="I6" s="45" t="b">
        <f>IFERROR(__xludf.DUMMYFUNCTION("""COMPUTED_VALUE"""),FALSE)</f>
        <v>0</v>
      </c>
      <c r="J6" s="45" t="b">
        <f>IFERROR(__xludf.DUMMYFUNCTION("""COMPUTED_VALUE"""),FALSE)</f>
        <v>0</v>
      </c>
      <c r="K6" s="45" t="b">
        <f>IFERROR(__xludf.DUMMYFUNCTION("""COMPUTED_VALUE"""),FALSE)</f>
        <v>0</v>
      </c>
      <c r="L6" s="45" t="b">
        <f>IFERROR(__xludf.DUMMYFUNCTION("""COMPUTED_VALUE"""),FALSE)</f>
        <v>0</v>
      </c>
      <c r="M6" s="45" t="b">
        <f>IFERROR(__xludf.DUMMYFUNCTION("""COMPUTED_VALUE"""),FALSE)</f>
        <v>0</v>
      </c>
      <c r="N6" s="45" t="b">
        <f>IFERROR(__xludf.DUMMYFUNCTION("""COMPUTED_VALUE"""),FALSE)</f>
        <v>0</v>
      </c>
      <c r="O6" s="45" t="b">
        <f>IFERROR(__xludf.DUMMYFUNCTION("""COMPUTED_VALUE"""),TRUE)</f>
        <v>1</v>
      </c>
      <c r="P6" s="45" t="b">
        <f>IFERROR(__xludf.DUMMYFUNCTION("""COMPUTED_VALUE"""),TRUE)</f>
        <v>1</v>
      </c>
      <c r="Q6" s="45"/>
      <c r="R6" s="45" t="b">
        <f>IFERROR(__xludf.DUMMYFUNCTION("""COMPUTED_VALUE"""),FALSE)</f>
        <v>0</v>
      </c>
      <c r="S6" s="45" t="b">
        <f>IFERROR(__xludf.DUMMYFUNCTION("""COMPUTED_VALUE"""),FALSE)</f>
        <v>0</v>
      </c>
      <c r="T6" s="45" t="b">
        <f>IFERROR(__xludf.DUMMYFUNCTION("""COMPUTED_VALUE"""),FALSE)</f>
        <v>0</v>
      </c>
      <c r="U6" s="45" t="b">
        <f>IFERROR(__xludf.DUMMYFUNCTION("""COMPUTED_VALUE"""),FALSE)</f>
        <v>0</v>
      </c>
      <c r="V6" s="45" t="b">
        <f>IFERROR(__xludf.DUMMYFUNCTION("""COMPUTED_VALUE"""),TRUE)</f>
        <v>1</v>
      </c>
      <c r="W6" s="45" t="b">
        <f>IFERROR(__xludf.DUMMYFUNCTION("""COMPUTED_VALUE"""),TRUE)</f>
        <v>1</v>
      </c>
      <c r="X6" s="45" t="b">
        <f>IFERROR(__xludf.DUMMYFUNCTION("""COMPUTED_VALUE"""),TRUE)</f>
        <v>1</v>
      </c>
      <c r="Y6" s="45" t="b">
        <f>IFERROR(__xludf.DUMMYFUNCTION("""COMPUTED_VALUE"""),TRUE)</f>
        <v>1</v>
      </c>
      <c r="Z6" s="45" t="b">
        <f>IFERROR(__xludf.DUMMYFUNCTION("""COMPUTED_VALUE"""),FALSE)</f>
        <v>0</v>
      </c>
      <c r="AA6" s="45" t="b">
        <f>IFERROR(__xludf.DUMMYFUNCTION("""COMPUTED_VALUE"""),FALSE)</f>
        <v>0</v>
      </c>
      <c r="AB6" s="45" t="b">
        <f>IFERROR(__xludf.DUMMYFUNCTION("""COMPUTED_VALUE"""),FALSE)</f>
        <v>0</v>
      </c>
      <c r="AC6" s="45" t="b">
        <f>IFERROR(__xludf.DUMMYFUNCTION("""COMPUTED_VALUE"""),FALSE)</f>
        <v>0</v>
      </c>
    </row>
    <row r="7">
      <c r="A7" s="25" t="b">
        <v>0</v>
      </c>
      <c r="B7" s="45" t="str">
        <f>IFERROR(__xludf.DUMMYFUNCTION("""COMPUTED_VALUE"""),"Sea star")</f>
        <v>Sea star</v>
      </c>
      <c r="C7" s="45">
        <f>IFERROR(__xludf.DUMMYFUNCTION("""COMPUTED_VALUE"""),500.0)</f>
        <v>500</v>
      </c>
      <c r="D7" s="45" t="str">
        <f>IFERROR(__xludf.DUMMYFUNCTION("""COMPUTED_VALUE"""),"All day")</f>
        <v>All day</v>
      </c>
      <c r="E7" s="45" t="b">
        <f>IFERROR(__xludf.DUMMYFUNCTION("""COMPUTED_VALUE"""),TRUE)</f>
        <v>1</v>
      </c>
      <c r="F7" s="45" t="b">
        <f>IFERROR(__xludf.DUMMYFUNCTION("""COMPUTED_VALUE"""),TRUE)</f>
        <v>1</v>
      </c>
      <c r="G7" s="45" t="b">
        <f>IFERROR(__xludf.DUMMYFUNCTION("""COMPUTED_VALUE"""),TRUE)</f>
        <v>1</v>
      </c>
      <c r="H7" s="45" t="b">
        <f>IFERROR(__xludf.DUMMYFUNCTION("""COMPUTED_VALUE"""),TRUE)</f>
        <v>1</v>
      </c>
      <c r="I7" s="45" t="b">
        <f>IFERROR(__xludf.DUMMYFUNCTION("""COMPUTED_VALUE"""),TRUE)</f>
        <v>1</v>
      </c>
      <c r="J7" s="45" t="b">
        <f>IFERROR(__xludf.DUMMYFUNCTION("""COMPUTED_VALUE"""),TRUE)</f>
        <v>1</v>
      </c>
      <c r="K7" s="45" t="b">
        <f>IFERROR(__xludf.DUMMYFUNCTION("""COMPUTED_VALUE"""),TRUE)</f>
        <v>1</v>
      </c>
      <c r="L7" s="45" t="b">
        <f>IFERROR(__xludf.DUMMYFUNCTION("""COMPUTED_VALUE"""),TRUE)</f>
        <v>1</v>
      </c>
      <c r="M7" s="45" t="b">
        <f>IFERROR(__xludf.DUMMYFUNCTION("""COMPUTED_VALUE"""),TRUE)</f>
        <v>1</v>
      </c>
      <c r="N7" s="45" t="b">
        <f>IFERROR(__xludf.DUMMYFUNCTION("""COMPUTED_VALUE"""),TRUE)</f>
        <v>1</v>
      </c>
      <c r="O7" s="45" t="b">
        <f>IFERROR(__xludf.DUMMYFUNCTION("""COMPUTED_VALUE"""),TRUE)</f>
        <v>1</v>
      </c>
      <c r="P7" s="45" t="b">
        <f>IFERROR(__xludf.DUMMYFUNCTION("""COMPUTED_VALUE"""),TRUE)</f>
        <v>1</v>
      </c>
      <c r="Q7" s="45"/>
      <c r="R7" s="45" t="b">
        <f>IFERROR(__xludf.DUMMYFUNCTION("""COMPUTED_VALUE"""),TRUE)</f>
        <v>1</v>
      </c>
      <c r="S7" s="45" t="b">
        <f>IFERROR(__xludf.DUMMYFUNCTION("""COMPUTED_VALUE"""),TRUE)</f>
        <v>1</v>
      </c>
      <c r="T7" s="45" t="b">
        <f>IFERROR(__xludf.DUMMYFUNCTION("""COMPUTED_VALUE"""),TRUE)</f>
        <v>1</v>
      </c>
      <c r="U7" s="45" t="b">
        <f>IFERROR(__xludf.DUMMYFUNCTION("""COMPUTED_VALUE"""),TRUE)</f>
        <v>1</v>
      </c>
      <c r="V7" s="45" t="b">
        <f>IFERROR(__xludf.DUMMYFUNCTION("""COMPUTED_VALUE"""),TRUE)</f>
        <v>1</v>
      </c>
      <c r="W7" s="45" t="b">
        <f>IFERROR(__xludf.DUMMYFUNCTION("""COMPUTED_VALUE"""),TRUE)</f>
        <v>1</v>
      </c>
      <c r="X7" s="45" t="b">
        <f>IFERROR(__xludf.DUMMYFUNCTION("""COMPUTED_VALUE"""),TRUE)</f>
        <v>1</v>
      </c>
      <c r="Y7" s="45" t="b">
        <f>IFERROR(__xludf.DUMMYFUNCTION("""COMPUTED_VALUE"""),TRUE)</f>
        <v>1</v>
      </c>
      <c r="Z7" s="45" t="b">
        <f>IFERROR(__xludf.DUMMYFUNCTION("""COMPUTED_VALUE"""),TRUE)</f>
        <v>1</v>
      </c>
      <c r="AA7" s="45" t="b">
        <f>IFERROR(__xludf.DUMMYFUNCTION("""COMPUTED_VALUE"""),TRUE)</f>
        <v>1</v>
      </c>
      <c r="AB7" s="45" t="b">
        <f>IFERROR(__xludf.DUMMYFUNCTION("""COMPUTED_VALUE"""),TRUE)</f>
        <v>1</v>
      </c>
      <c r="AC7" s="45" t="b">
        <f>IFERROR(__xludf.DUMMYFUNCTION("""COMPUTED_VALUE"""),TRUE)</f>
        <v>1</v>
      </c>
    </row>
    <row r="8">
      <c r="A8" s="25" t="b">
        <v>0</v>
      </c>
      <c r="B8" s="45" t="str">
        <f>IFERROR(__xludf.DUMMYFUNCTION("""COMPUTED_VALUE"""),"Sea urchin")</f>
        <v>Sea urchin</v>
      </c>
      <c r="C8" s="48">
        <f>IFERROR(__xludf.DUMMYFUNCTION("""COMPUTED_VALUE"""),1700.0)</f>
        <v>1700</v>
      </c>
      <c r="D8" s="45" t="str">
        <f>IFERROR(__xludf.DUMMYFUNCTION("""COMPUTED_VALUE"""),"All day")</f>
        <v>All day</v>
      </c>
      <c r="E8" s="45" t="b">
        <f>IFERROR(__xludf.DUMMYFUNCTION("""COMPUTED_VALUE"""),FALSE)</f>
        <v>0</v>
      </c>
      <c r="F8" s="45" t="b">
        <f>IFERROR(__xludf.DUMMYFUNCTION("""COMPUTED_VALUE"""),FALSE)</f>
        <v>0</v>
      </c>
      <c r="G8" s="45" t="b">
        <f>IFERROR(__xludf.DUMMYFUNCTION("""COMPUTED_VALUE"""),FALSE)</f>
        <v>0</v>
      </c>
      <c r="H8" s="45" t="b">
        <f>IFERROR(__xludf.DUMMYFUNCTION("""COMPUTED_VALUE"""),FALSE)</f>
        <v>0</v>
      </c>
      <c r="I8" s="45" t="b">
        <f>IFERROR(__xludf.DUMMYFUNCTION("""COMPUTED_VALUE"""),TRUE)</f>
        <v>1</v>
      </c>
      <c r="J8" s="45" t="b">
        <f>IFERROR(__xludf.DUMMYFUNCTION("""COMPUTED_VALUE"""),TRUE)</f>
        <v>1</v>
      </c>
      <c r="K8" s="45" t="b">
        <f>IFERROR(__xludf.DUMMYFUNCTION("""COMPUTED_VALUE"""),TRUE)</f>
        <v>1</v>
      </c>
      <c r="L8" s="45" t="b">
        <f>IFERROR(__xludf.DUMMYFUNCTION("""COMPUTED_VALUE"""),TRUE)</f>
        <v>1</v>
      </c>
      <c r="M8" s="45" t="b">
        <f>IFERROR(__xludf.DUMMYFUNCTION("""COMPUTED_VALUE"""),TRUE)</f>
        <v>1</v>
      </c>
      <c r="N8" s="45" t="b">
        <f>IFERROR(__xludf.DUMMYFUNCTION("""COMPUTED_VALUE"""),FALSE)</f>
        <v>0</v>
      </c>
      <c r="O8" s="45" t="b">
        <f>IFERROR(__xludf.DUMMYFUNCTION("""COMPUTED_VALUE"""),FALSE)</f>
        <v>0</v>
      </c>
      <c r="P8" s="45" t="b">
        <f>IFERROR(__xludf.DUMMYFUNCTION("""COMPUTED_VALUE"""),FALSE)</f>
        <v>0</v>
      </c>
      <c r="Q8" s="45"/>
      <c r="R8" s="45" t="b">
        <f>IFERROR(__xludf.DUMMYFUNCTION("""COMPUTED_VALUE"""),TRUE)</f>
        <v>1</v>
      </c>
      <c r="S8" s="45" t="b">
        <f>IFERROR(__xludf.DUMMYFUNCTION("""COMPUTED_VALUE"""),TRUE)</f>
        <v>1</v>
      </c>
      <c r="T8" s="45" t="b">
        <f>IFERROR(__xludf.DUMMYFUNCTION("""COMPUTED_VALUE"""),TRUE)</f>
        <v>1</v>
      </c>
      <c r="U8" s="45" t="b">
        <f>IFERROR(__xludf.DUMMYFUNCTION("""COMPUTED_VALUE"""),FALSE)</f>
        <v>0</v>
      </c>
      <c r="V8" s="45" t="b">
        <f>IFERROR(__xludf.DUMMYFUNCTION("""COMPUTED_VALUE"""),FALSE)</f>
        <v>0</v>
      </c>
      <c r="W8" s="45" t="b">
        <f>IFERROR(__xludf.DUMMYFUNCTION("""COMPUTED_VALUE"""),FALSE)</f>
        <v>0</v>
      </c>
      <c r="X8" s="45" t="b">
        <f>IFERROR(__xludf.DUMMYFUNCTION("""COMPUTED_VALUE"""),FALSE)</f>
        <v>0</v>
      </c>
      <c r="Y8" s="45" t="b">
        <f>IFERROR(__xludf.DUMMYFUNCTION("""COMPUTED_VALUE"""),FALSE)</f>
        <v>0</v>
      </c>
      <c r="Z8" s="45" t="b">
        <f>IFERROR(__xludf.DUMMYFUNCTION("""COMPUTED_VALUE"""),FALSE)</f>
        <v>0</v>
      </c>
      <c r="AA8" s="45" t="b">
        <f>IFERROR(__xludf.DUMMYFUNCTION("""COMPUTED_VALUE"""),FALSE)</f>
        <v>0</v>
      </c>
      <c r="AB8" s="45" t="b">
        <f>IFERROR(__xludf.DUMMYFUNCTION("""COMPUTED_VALUE"""),TRUE)</f>
        <v>1</v>
      </c>
      <c r="AC8" s="45" t="b">
        <f>IFERROR(__xludf.DUMMYFUNCTION("""COMPUTED_VALUE"""),TRUE)</f>
        <v>1</v>
      </c>
    </row>
    <row r="9">
      <c r="A9" s="25" t="b">
        <v>0</v>
      </c>
      <c r="B9" s="45" t="str">
        <f>IFERROR(__xludf.DUMMYFUNCTION("""COMPUTED_VALUE"""),"Slate pencil urchin")</f>
        <v>Slate pencil urchin</v>
      </c>
      <c r="C9" s="48">
        <f>IFERROR(__xludf.DUMMYFUNCTION("""COMPUTED_VALUE"""),2000.0)</f>
        <v>2000</v>
      </c>
      <c r="D9" s="45" t="str">
        <f>IFERROR(__xludf.DUMMYFUNCTION("""COMPUTED_VALUE"""),"4 p.m. - 9 a.m.")</f>
        <v>4 p.m. - 9 a.m.</v>
      </c>
      <c r="E9" s="45" t="b">
        <f>IFERROR(__xludf.DUMMYFUNCTION("""COMPUTED_VALUE"""),FALSE)</f>
        <v>0</v>
      </c>
      <c r="F9" s="45" t="b">
        <f>IFERROR(__xludf.DUMMYFUNCTION("""COMPUTED_VALUE"""),FALSE)</f>
        <v>0</v>
      </c>
      <c r="G9" s="45" t="b">
        <f>IFERROR(__xludf.DUMMYFUNCTION("""COMPUTED_VALUE"""),FALSE)</f>
        <v>0</v>
      </c>
      <c r="H9" s="45" t="b">
        <f>IFERROR(__xludf.DUMMYFUNCTION("""COMPUTED_VALUE"""),FALSE)</f>
        <v>0</v>
      </c>
      <c r="I9" s="45" t="b">
        <f>IFERROR(__xludf.DUMMYFUNCTION("""COMPUTED_VALUE"""),TRUE)</f>
        <v>1</v>
      </c>
      <c r="J9" s="45" t="b">
        <f>IFERROR(__xludf.DUMMYFUNCTION("""COMPUTED_VALUE"""),TRUE)</f>
        <v>1</v>
      </c>
      <c r="K9" s="45" t="b">
        <f>IFERROR(__xludf.DUMMYFUNCTION("""COMPUTED_VALUE"""),TRUE)</f>
        <v>1</v>
      </c>
      <c r="L9" s="45" t="b">
        <f>IFERROR(__xludf.DUMMYFUNCTION("""COMPUTED_VALUE"""),TRUE)</f>
        <v>1</v>
      </c>
      <c r="M9" s="45" t="b">
        <f>IFERROR(__xludf.DUMMYFUNCTION("""COMPUTED_VALUE"""),TRUE)</f>
        <v>1</v>
      </c>
      <c r="N9" s="45" t="b">
        <f>IFERROR(__xludf.DUMMYFUNCTION("""COMPUTED_VALUE"""),FALSE)</f>
        <v>0</v>
      </c>
      <c r="O9" s="45" t="b">
        <f>IFERROR(__xludf.DUMMYFUNCTION("""COMPUTED_VALUE"""),FALSE)</f>
        <v>0</v>
      </c>
      <c r="P9" s="45" t="b">
        <f>IFERROR(__xludf.DUMMYFUNCTION("""COMPUTED_VALUE"""),FALSE)</f>
        <v>0</v>
      </c>
      <c r="Q9" s="45"/>
      <c r="R9" s="45" t="b">
        <f>IFERROR(__xludf.DUMMYFUNCTION("""COMPUTED_VALUE"""),TRUE)</f>
        <v>1</v>
      </c>
      <c r="S9" s="45" t="b">
        <f>IFERROR(__xludf.DUMMYFUNCTION("""COMPUTED_VALUE"""),TRUE)</f>
        <v>1</v>
      </c>
      <c r="T9" s="45" t="b">
        <f>IFERROR(__xludf.DUMMYFUNCTION("""COMPUTED_VALUE"""),TRUE)</f>
        <v>1</v>
      </c>
      <c r="U9" s="45" t="b">
        <f>IFERROR(__xludf.DUMMYFUNCTION("""COMPUTED_VALUE"""),FALSE)</f>
        <v>0</v>
      </c>
      <c r="V9" s="45" t="b">
        <f>IFERROR(__xludf.DUMMYFUNCTION("""COMPUTED_VALUE"""),FALSE)</f>
        <v>0</v>
      </c>
      <c r="W9" s="45" t="b">
        <f>IFERROR(__xludf.DUMMYFUNCTION("""COMPUTED_VALUE"""),FALSE)</f>
        <v>0</v>
      </c>
      <c r="X9" s="45" t="b">
        <f>IFERROR(__xludf.DUMMYFUNCTION("""COMPUTED_VALUE"""),FALSE)</f>
        <v>0</v>
      </c>
      <c r="Y9" s="45" t="b">
        <f>IFERROR(__xludf.DUMMYFUNCTION("""COMPUTED_VALUE"""),FALSE)</f>
        <v>0</v>
      </c>
      <c r="Z9" s="45" t="b">
        <f>IFERROR(__xludf.DUMMYFUNCTION("""COMPUTED_VALUE"""),FALSE)</f>
        <v>0</v>
      </c>
      <c r="AA9" s="45" t="b">
        <f>IFERROR(__xludf.DUMMYFUNCTION("""COMPUTED_VALUE"""),FALSE)</f>
        <v>0</v>
      </c>
      <c r="AB9" s="45" t="b">
        <f>IFERROR(__xludf.DUMMYFUNCTION("""COMPUTED_VALUE"""),TRUE)</f>
        <v>1</v>
      </c>
      <c r="AC9" s="45" t="b">
        <f>IFERROR(__xludf.DUMMYFUNCTION("""COMPUTED_VALUE"""),TRUE)</f>
        <v>1</v>
      </c>
    </row>
    <row r="10">
      <c r="A10" s="25" t="b">
        <v>0</v>
      </c>
      <c r="B10" s="45" t="str">
        <f>IFERROR(__xludf.DUMMYFUNCTION("""COMPUTED_VALUE"""),"Sea anemone")</f>
        <v>Sea anemone</v>
      </c>
      <c r="C10" s="45">
        <f>IFERROR(__xludf.DUMMYFUNCTION("""COMPUTED_VALUE"""),500.0)</f>
        <v>500</v>
      </c>
      <c r="D10" s="45" t="str">
        <f>IFERROR(__xludf.DUMMYFUNCTION("""COMPUTED_VALUE"""),"All day")</f>
        <v>All day</v>
      </c>
      <c r="E10" s="45" t="b">
        <f>IFERROR(__xludf.DUMMYFUNCTION("""COMPUTED_VALUE"""),TRUE)</f>
        <v>1</v>
      </c>
      <c r="F10" s="45" t="b">
        <f>IFERROR(__xludf.DUMMYFUNCTION("""COMPUTED_VALUE"""),TRUE)</f>
        <v>1</v>
      </c>
      <c r="G10" s="45" t="b">
        <f>IFERROR(__xludf.DUMMYFUNCTION("""COMPUTED_VALUE"""),TRUE)</f>
        <v>1</v>
      </c>
      <c r="H10" s="45" t="b">
        <f>IFERROR(__xludf.DUMMYFUNCTION("""COMPUTED_VALUE"""),TRUE)</f>
        <v>1</v>
      </c>
      <c r="I10" s="45" t="b">
        <f>IFERROR(__xludf.DUMMYFUNCTION("""COMPUTED_VALUE"""),TRUE)</f>
        <v>1</v>
      </c>
      <c r="J10" s="45" t="b">
        <f>IFERROR(__xludf.DUMMYFUNCTION("""COMPUTED_VALUE"""),TRUE)</f>
        <v>1</v>
      </c>
      <c r="K10" s="45" t="b">
        <f>IFERROR(__xludf.DUMMYFUNCTION("""COMPUTED_VALUE"""),TRUE)</f>
        <v>1</v>
      </c>
      <c r="L10" s="45" t="b">
        <f>IFERROR(__xludf.DUMMYFUNCTION("""COMPUTED_VALUE"""),TRUE)</f>
        <v>1</v>
      </c>
      <c r="M10" s="45" t="b">
        <f>IFERROR(__xludf.DUMMYFUNCTION("""COMPUTED_VALUE"""),TRUE)</f>
        <v>1</v>
      </c>
      <c r="N10" s="45" t="b">
        <f>IFERROR(__xludf.DUMMYFUNCTION("""COMPUTED_VALUE"""),TRUE)</f>
        <v>1</v>
      </c>
      <c r="O10" s="45" t="b">
        <f>IFERROR(__xludf.DUMMYFUNCTION("""COMPUTED_VALUE"""),TRUE)</f>
        <v>1</v>
      </c>
      <c r="P10" s="45" t="b">
        <f>IFERROR(__xludf.DUMMYFUNCTION("""COMPUTED_VALUE"""),TRUE)</f>
        <v>1</v>
      </c>
      <c r="Q10" s="45"/>
      <c r="R10" s="45" t="b">
        <f>IFERROR(__xludf.DUMMYFUNCTION("""COMPUTED_VALUE"""),TRUE)</f>
        <v>1</v>
      </c>
      <c r="S10" s="45" t="b">
        <f>IFERROR(__xludf.DUMMYFUNCTION("""COMPUTED_VALUE"""),TRUE)</f>
        <v>1</v>
      </c>
      <c r="T10" s="45" t="b">
        <f>IFERROR(__xludf.DUMMYFUNCTION("""COMPUTED_VALUE"""),TRUE)</f>
        <v>1</v>
      </c>
      <c r="U10" s="45" t="b">
        <f>IFERROR(__xludf.DUMMYFUNCTION("""COMPUTED_VALUE"""),TRUE)</f>
        <v>1</v>
      </c>
      <c r="V10" s="45" t="b">
        <f>IFERROR(__xludf.DUMMYFUNCTION("""COMPUTED_VALUE"""),TRUE)</f>
        <v>1</v>
      </c>
      <c r="W10" s="45" t="b">
        <f>IFERROR(__xludf.DUMMYFUNCTION("""COMPUTED_VALUE"""),TRUE)</f>
        <v>1</v>
      </c>
      <c r="X10" s="45" t="b">
        <f>IFERROR(__xludf.DUMMYFUNCTION("""COMPUTED_VALUE"""),TRUE)</f>
        <v>1</v>
      </c>
      <c r="Y10" s="45" t="b">
        <f>IFERROR(__xludf.DUMMYFUNCTION("""COMPUTED_VALUE"""),TRUE)</f>
        <v>1</v>
      </c>
      <c r="Z10" s="45" t="b">
        <f>IFERROR(__xludf.DUMMYFUNCTION("""COMPUTED_VALUE"""),TRUE)</f>
        <v>1</v>
      </c>
      <c r="AA10" s="45" t="b">
        <f>IFERROR(__xludf.DUMMYFUNCTION("""COMPUTED_VALUE"""),TRUE)</f>
        <v>1</v>
      </c>
      <c r="AB10" s="45" t="b">
        <f>IFERROR(__xludf.DUMMYFUNCTION("""COMPUTED_VALUE"""),TRUE)</f>
        <v>1</v>
      </c>
      <c r="AC10" s="45" t="b">
        <f>IFERROR(__xludf.DUMMYFUNCTION("""COMPUTED_VALUE"""),TRUE)</f>
        <v>1</v>
      </c>
    </row>
    <row r="11">
      <c r="A11" s="25" t="b">
        <v>0</v>
      </c>
      <c r="B11" s="45" t="str">
        <f>IFERROR(__xludf.DUMMYFUNCTION("""COMPUTED_VALUE"""),"Moon jellyfish")</f>
        <v>Moon jellyfish</v>
      </c>
      <c r="C11" s="45">
        <f>IFERROR(__xludf.DUMMYFUNCTION("""COMPUTED_VALUE"""),600.0)</f>
        <v>600</v>
      </c>
      <c r="D11" s="45" t="str">
        <f>IFERROR(__xludf.DUMMYFUNCTION("""COMPUTED_VALUE"""),"All day")</f>
        <v>All day</v>
      </c>
      <c r="E11" s="45" t="b">
        <f>IFERROR(__xludf.DUMMYFUNCTION("""COMPUTED_VALUE"""),FALSE)</f>
        <v>0</v>
      </c>
      <c r="F11" s="45" t="b">
        <f>IFERROR(__xludf.DUMMYFUNCTION("""COMPUTED_VALUE"""),FALSE)</f>
        <v>0</v>
      </c>
      <c r="G11" s="45" t="b">
        <f>IFERROR(__xludf.DUMMYFUNCTION("""COMPUTED_VALUE"""),FALSE)</f>
        <v>0</v>
      </c>
      <c r="H11" s="45" t="b">
        <f>IFERROR(__xludf.DUMMYFUNCTION("""COMPUTED_VALUE"""),FALSE)</f>
        <v>0</v>
      </c>
      <c r="I11" s="45" t="b">
        <f>IFERROR(__xludf.DUMMYFUNCTION("""COMPUTED_VALUE"""),FALSE)</f>
        <v>0</v>
      </c>
      <c r="J11" s="45" t="b">
        <f>IFERROR(__xludf.DUMMYFUNCTION("""COMPUTED_VALUE"""),FALSE)</f>
        <v>0</v>
      </c>
      <c r="K11" s="45" t="b">
        <f>IFERROR(__xludf.DUMMYFUNCTION("""COMPUTED_VALUE"""),TRUE)</f>
        <v>1</v>
      </c>
      <c r="L11" s="45" t="b">
        <f>IFERROR(__xludf.DUMMYFUNCTION("""COMPUTED_VALUE"""),TRUE)</f>
        <v>1</v>
      </c>
      <c r="M11" s="45" t="b">
        <f>IFERROR(__xludf.DUMMYFUNCTION("""COMPUTED_VALUE"""),TRUE)</f>
        <v>1</v>
      </c>
      <c r="N11" s="45" t="b">
        <f>IFERROR(__xludf.DUMMYFUNCTION("""COMPUTED_VALUE"""),FALSE)</f>
        <v>0</v>
      </c>
      <c r="O11" s="45" t="b">
        <f>IFERROR(__xludf.DUMMYFUNCTION("""COMPUTED_VALUE"""),FALSE)</f>
        <v>0</v>
      </c>
      <c r="P11" s="45" t="b">
        <f>IFERROR(__xludf.DUMMYFUNCTION("""COMPUTED_VALUE"""),FALSE)</f>
        <v>0</v>
      </c>
      <c r="Q11" s="45"/>
      <c r="R11" s="45" t="b">
        <f>IFERROR(__xludf.DUMMYFUNCTION("""COMPUTED_VALUE"""),TRUE)</f>
        <v>1</v>
      </c>
      <c r="S11" s="45" t="b">
        <f>IFERROR(__xludf.DUMMYFUNCTION("""COMPUTED_VALUE"""),TRUE)</f>
        <v>1</v>
      </c>
      <c r="T11" s="45" t="b">
        <f>IFERROR(__xludf.DUMMYFUNCTION("""COMPUTED_VALUE"""),TRUE)</f>
        <v>1</v>
      </c>
      <c r="U11" s="45" t="b">
        <f>IFERROR(__xludf.DUMMYFUNCTION("""COMPUTED_VALUE"""),FALSE)</f>
        <v>0</v>
      </c>
      <c r="V11" s="45" t="b">
        <f>IFERROR(__xludf.DUMMYFUNCTION("""COMPUTED_VALUE"""),FALSE)</f>
        <v>0</v>
      </c>
      <c r="W11" s="45" t="b">
        <f>IFERROR(__xludf.DUMMYFUNCTION("""COMPUTED_VALUE"""),FALSE)</f>
        <v>0</v>
      </c>
      <c r="X11" s="45" t="b">
        <f>IFERROR(__xludf.DUMMYFUNCTION("""COMPUTED_VALUE"""),FALSE)</f>
        <v>0</v>
      </c>
      <c r="Y11" s="45" t="b">
        <f>IFERROR(__xludf.DUMMYFUNCTION("""COMPUTED_VALUE"""),FALSE)</f>
        <v>0</v>
      </c>
      <c r="Z11" s="45" t="b">
        <f>IFERROR(__xludf.DUMMYFUNCTION("""COMPUTED_VALUE"""),FALSE)</f>
        <v>0</v>
      </c>
      <c r="AA11" s="45" t="b">
        <f>IFERROR(__xludf.DUMMYFUNCTION("""COMPUTED_VALUE"""),FALSE)</f>
        <v>0</v>
      </c>
      <c r="AB11" s="45" t="b">
        <f>IFERROR(__xludf.DUMMYFUNCTION("""COMPUTED_VALUE"""),FALSE)</f>
        <v>0</v>
      </c>
      <c r="AC11" s="45" t="b">
        <f>IFERROR(__xludf.DUMMYFUNCTION("""COMPUTED_VALUE"""),FALSE)</f>
        <v>0</v>
      </c>
    </row>
    <row r="12">
      <c r="A12" s="25" t="b">
        <v>0</v>
      </c>
      <c r="B12" s="45" t="str">
        <f>IFERROR(__xludf.DUMMYFUNCTION("""COMPUTED_VALUE"""),"Sea slug")</f>
        <v>Sea slug</v>
      </c>
      <c r="C12" s="45">
        <f>IFERROR(__xludf.DUMMYFUNCTION("""COMPUTED_VALUE"""),600.0)</f>
        <v>600</v>
      </c>
      <c r="D12" s="45" t="str">
        <f>IFERROR(__xludf.DUMMYFUNCTION("""COMPUTED_VALUE"""),"All day")</f>
        <v>All day</v>
      </c>
      <c r="E12" s="45" t="b">
        <f>IFERROR(__xludf.DUMMYFUNCTION("""COMPUTED_VALUE"""),TRUE)</f>
        <v>1</v>
      </c>
      <c r="F12" s="45" t="b">
        <f>IFERROR(__xludf.DUMMYFUNCTION("""COMPUTED_VALUE"""),TRUE)</f>
        <v>1</v>
      </c>
      <c r="G12" s="45" t="b">
        <f>IFERROR(__xludf.DUMMYFUNCTION("""COMPUTED_VALUE"""),TRUE)</f>
        <v>1</v>
      </c>
      <c r="H12" s="45" t="b">
        <f>IFERROR(__xludf.DUMMYFUNCTION("""COMPUTED_VALUE"""),TRUE)</f>
        <v>1</v>
      </c>
      <c r="I12" s="45" t="b">
        <f>IFERROR(__xludf.DUMMYFUNCTION("""COMPUTED_VALUE"""),TRUE)</f>
        <v>1</v>
      </c>
      <c r="J12" s="45" t="b">
        <f>IFERROR(__xludf.DUMMYFUNCTION("""COMPUTED_VALUE"""),TRUE)</f>
        <v>1</v>
      </c>
      <c r="K12" s="45" t="b">
        <f>IFERROR(__xludf.DUMMYFUNCTION("""COMPUTED_VALUE"""),TRUE)</f>
        <v>1</v>
      </c>
      <c r="L12" s="45" t="b">
        <f>IFERROR(__xludf.DUMMYFUNCTION("""COMPUTED_VALUE"""),TRUE)</f>
        <v>1</v>
      </c>
      <c r="M12" s="45" t="b">
        <f>IFERROR(__xludf.DUMMYFUNCTION("""COMPUTED_VALUE"""),TRUE)</f>
        <v>1</v>
      </c>
      <c r="N12" s="45" t="b">
        <f>IFERROR(__xludf.DUMMYFUNCTION("""COMPUTED_VALUE"""),TRUE)</f>
        <v>1</v>
      </c>
      <c r="O12" s="45" t="b">
        <f>IFERROR(__xludf.DUMMYFUNCTION("""COMPUTED_VALUE"""),TRUE)</f>
        <v>1</v>
      </c>
      <c r="P12" s="45" t="b">
        <f>IFERROR(__xludf.DUMMYFUNCTION("""COMPUTED_VALUE"""),TRUE)</f>
        <v>1</v>
      </c>
      <c r="Q12" s="45"/>
      <c r="R12" s="45" t="b">
        <f>IFERROR(__xludf.DUMMYFUNCTION("""COMPUTED_VALUE"""),TRUE)</f>
        <v>1</v>
      </c>
      <c r="S12" s="45" t="b">
        <f>IFERROR(__xludf.DUMMYFUNCTION("""COMPUTED_VALUE"""),TRUE)</f>
        <v>1</v>
      </c>
      <c r="T12" s="45" t="b">
        <f>IFERROR(__xludf.DUMMYFUNCTION("""COMPUTED_VALUE"""),TRUE)</f>
        <v>1</v>
      </c>
      <c r="U12" s="45" t="b">
        <f>IFERROR(__xludf.DUMMYFUNCTION("""COMPUTED_VALUE"""),TRUE)</f>
        <v>1</v>
      </c>
      <c r="V12" s="45" t="b">
        <f>IFERROR(__xludf.DUMMYFUNCTION("""COMPUTED_VALUE"""),TRUE)</f>
        <v>1</v>
      </c>
      <c r="W12" s="45" t="b">
        <f>IFERROR(__xludf.DUMMYFUNCTION("""COMPUTED_VALUE"""),TRUE)</f>
        <v>1</v>
      </c>
      <c r="X12" s="45" t="b">
        <f>IFERROR(__xludf.DUMMYFUNCTION("""COMPUTED_VALUE"""),TRUE)</f>
        <v>1</v>
      </c>
      <c r="Y12" s="45" t="b">
        <f>IFERROR(__xludf.DUMMYFUNCTION("""COMPUTED_VALUE"""),TRUE)</f>
        <v>1</v>
      </c>
      <c r="Z12" s="45" t="b">
        <f>IFERROR(__xludf.DUMMYFUNCTION("""COMPUTED_VALUE"""),TRUE)</f>
        <v>1</v>
      </c>
      <c r="AA12" s="45" t="b">
        <f>IFERROR(__xludf.DUMMYFUNCTION("""COMPUTED_VALUE"""),TRUE)</f>
        <v>1</v>
      </c>
      <c r="AB12" s="45" t="b">
        <f>IFERROR(__xludf.DUMMYFUNCTION("""COMPUTED_VALUE"""),TRUE)</f>
        <v>1</v>
      </c>
      <c r="AC12" s="45" t="b">
        <f>IFERROR(__xludf.DUMMYFUNCTION("""COMPUTED_VALUE"""),TRUE)</f>
        <v>1</v>
      </c>
    </row>
    <row r="13">
      <c r="A13" s="25" t="b">
        <v>0</v>
      </c>
      <c r="B13" s="45" t="str">
        <f>IFERROR(__xludf.DUMMYFUNCTION("""COMPUTED_VALUE"""),"Pearl oyster")</f>
        <v>Pearl oyster</v>
      </c>
      <c r="C13" s="48">
        <f>IFERROR(__xludf.DUMMYFUNCTION("""COMPUTED_VALUE"""),2800.0)</f>
        <v>2800</v>
      </c>
      <c r="D13" s="45" t="str">
        <f>IFERROR(__xludf.DUMMYFUNCTION("""COMPUTED_VALUE"""),"All day")</f>
        <v>All day</v>
      </c>
      <c r="E13" s="45" t="b">
        <f>IFERROR(__xludf.DUMMYFUNCTION("""COMPUTED_VALUE"""),TRUE)</f>
        <v>1</v>
      </c>
      <c r="F13" s="45" t="b">
        <f>IFERROR(__xludf.DUMMYFUNCTION("""COMPUTED_VALUE"""),TRUE)</f>
        <v>1</v>
      </c>
      <c r="G13" s="45" t="b">
        <f>IFERROR(__xludf.DUMMYFUNCTION("""COMPUTED_VALUE"""),TRUE)</f>
        <v>1</v>
      </c>
      <c r="H13" s="45" t="b">
        <f>IFERROR(__xludf.DUMMYFUNCTION("""COMPUTED_VALUE"""),TRUE)</f>
        <v>1</v>
      </c>
      <c r="I13" s="45" t="b">
        <f>IFERROR(__xludf.DUMMYFUNCTION("""COMPUTED_VALUE"""),TRUE)</f>
        <v>1</v>
      </c>
      <c r="J13" s="45" t="b">
        <f>IFERROR(__xludf.DUMMYFUNCTION("""COMPUTED_VALUE"""),TRUE)</f>
        <v>1</v>
      </c>
      <c r="K13" s="45" t="b">
        <f>IFERROR(__xludf.DUMMYFUNCTION("""COMPUTED_VALUE"""),TRUE)</f>
        <v>1</v>
      </c>
      <c r="L13" s="45" t="b">
        <f>IFERROR(__xludf.DUMMYFUNCTION("""COMPUTED_VALUE"""),TRUE)</f>
        <v>1</v>
      </c>
      <c r="M13" s="45" t="b">
        <f>IFERROR(__xludf.DUMMYFUNCTION("""COMPUTED_VALUE"""),TRUE)</f>
        <v>1</v>
      </c>
      <c r="N13" s="45" t="b">
        <f>IFERROR(__xludf.DUMMYFUNCTION("""COMPUTED_VALUE"""),TRUE)</f>
        <v>1</v>
      </c>
      <c r="O13" s="45" t="b">
        <f>IFERROR(__xludf.DUMMYFUNCTION("""COMPUTED_VALUE"""),TRUE)</f>
        <v>1</v>
      </c>
      <c r="P13" s="45" t="b">
        <f>IFERROR(__xludf.DUMMYFUNCTION("""COMPUTED_VALUE"""),TRUE)</f>
        <v>1</v>
      </c>
      <c r="Q13" s="45"/>
      <c r="R13" s="45" t="b">
        <f>IFERROR(__xludf.DUMMYFUNCTION("""COMPUTED_VALUE"""),TRUE)</f>
        <v>1</v>
      </c>
      <c r="S13" s="45" t="b">
        <f>IFERROR(__xludf.DUMMYFUNCTION("""COMPUTED_VALUE"""),TRUE)</f>
        <v>1</v>
      </c>
      <c r="T13" s="45" t="b">
        <f>IFERROR(__xludf.DUMMYFUNCTION("""COMPUTED_VALUE"""),TRUE)</f>
        <v>1</v>
      </c>
      <c r="U13" s="45" t="b">
        <f>IFERROR(__xludf.DUMMYFUNCTION("""COMPUTED_VALUE"""),TRUE)</f>
        <v>1</v>
      </c>
      <c r="V13" s="45" t="b">
        <f>IFERROR(__xludf.DUMMYFUNCTION("""COMPUTED_VALUE"""),TRUE)</f>
        <v>1</v>
      </c>
      <c r="W13" s="45" t="b">
        <f>IFERROR(__xludf.DUMMYFUNCTION("""COMPUTED_VALUE"""),TRUE)</f>
        <v>1</v>
      </c>
      <c r="X13" s="45" t="b">
        <f>IFERROR(__xludf.DUMMYFUNCTION("""COMPUTED_VALUE"""),TRUE)</f>
        <v>1</v>
      </c>
      <c r="Y13" s="45" t="b">
        <f>IFERROR(__xludf.DUMMYFUNCTION("""COMPUTED_VALUE"""),TRUE)</f>
        <v>1</v>
      </c>
      <c r="Z13" s="45" t="b">
        <f>IFERROR(__xludf.DUMMYFUNCTION("""COMPUTED_VALUE"""),TRUE)</f>
        <v>1</v>
      </c>
      <c r="AA13" s="45" t="b">
        <f>IFERROR(__xludf.DUMMYFUNCTION("""COMPUTED_VALUE"""),TRUE)</f>
        <v>1</v>
      </c>
      <c r="AB13" s="45" t="b">
        <f>IFERROR(__xludf.DUMMYFUNCTION("""COMPUTED_VALUE"""),TRUE)</f>
        <v>1</v>
      </c>
      <c r="AC13" s="45" t="b">
        <f>IFERROR(__xludf.DUMMYFUNCTION("""COMPUTED_VALUE"""),TRUE)</f>
        <v>1</v>
      </c>
    </row>
    <row r="14">
      <c r="A14" s="25" t="b">
        <v>0</v>
      </c>
      <c r="B14" s="45" t="str">
        <f>IFERROR(__xludf.DUMMYFUNCTION("""COMPUTED_VALUE"""),"Mussel")</f>
        <v>Mussel</v>
      </c>
      <c r="C14" s="48">
        <f>IFERROR(__xludf.DUMMYFUNCTION("""COMPUTED_VALUE"""),1500.0)</f>
        <v>1500</v>
      </c>
      <c r="D14" s="45" t="str">
        <f>IFERROR(__xludf.DUMMYFUNCTION("""COMPUTED_VALUE"""),"All day")</f>
        <v>All day</v>
      </c>
      <c r="E14" s="45" t="b">
        <f>IFERROR(__xludf.DUMMYFUNCTION("""COMPUTED_VALUE"""),FALSE)</f>
        <v>0</v>
      </c>
      <c r="F14" s="45" t="b">
        <f>IFERROR(__xludf.DUMMYFUNCTION("""COMPUTED_VALUE"""),FALSE)</f>
        <v>0</v>
      </c>
      <c r="G14" s="45" t="b">
        <f>IFERROR(__xludf.DUMMYFUNCTION("""COMPUTED_VALUE"""),FALSE)</f>
        <v>0</v>
      </c>
      <c r="H14" s="45" t="b">
        <f>IFERROR(__xludf.DUMMYFUNCTION("""COMPUTED_VALUE"""),FALSE)</f>
        <v>0</v>
      </c>
      <c r="I14" s="45" t="b">
        <f>IFERROR(__xludf.DUMMYFUNCTION("""COMPUTED_VALUE"""),FALSE)</f>
        <v>0</v>
      </c>
      <c r="J14" s="45" t="b">
        <f>IFERROR(__xludf.DUMMYFUNCTION("""COMPUTED_VALUE"""),TRUE)</f>
        <v>1</v>
      </c>
      <c r="K14" s="45" t="b">
        <f>IFERROR(__xludf.DUMMYFUNCTION("""COMPUTED_VALUE"""),TRUE)</f>
        <v>1</v>
      </c>
      <c r="L14" s="45" t="b">
        <f>IFERROR(__xludf.DUMMYFUNCTION("""COMPUTED_VALUE"""),TRUE)</f>
        <v>1</v>
      </c>
      <c r="M14" s="45" t="b">
        <f>IFERROR(__xludf.DUMMYFUNCTION("""COMPUTED_VALUE"""),TRUE)</f>
        <v>1</v>
      </c>
      <c r="N14" s="45" t="b">
        <f>IFERROR(__xludf.DUMMYFUNCTION("""COMPUTED_VALUE"""),TRUE)</f>
        <v>1</v>
      </c>
      <c r="O14" s="45" t="b">
        <f>IFERROR(__xludf.DUMMYFUNCTION("""COMPUTED_VALUE"""),TRUE)</f>
        <v>1</v>
      </c>
      <c r="P14" s="45" t="b">
        <f>IFERROR(__xludf.DUMMYFUNCTION("""COMPUTED_VALUE"""),TRUE)</f>
        <v>1</v>
      </c>
      <c r="Q14" s="45"/>
      <c r="R14" s="45" t="b">
        <f>IFERROR(__xludf.DUMMYFUNCTION("""COMPUTED_VALUE"""),TRUE)</f>
        <v>1</v>
      </c>
      <c r="S14" s="45" t="b">
        <f>IFERROR(__xludf.DUMMYFUNCTION("""COMPUTED_VALUE"""),TRUE)</f>
        <v>1</v>
      </c>
      <c r="T14" s="45" t="b">
        <f>IFERROR(__xludf.DUMMYFUNCTION("""COMPUTED_VALUE"""),TRUE)</f>
        <v>1</v>
      </c>
      <c r="U14" s="45" t="b">
        <f>IFERROR(__xludf.DUMMYFUNCTION("""COMPUTED_VALUE"""),TRUE)</f>
        <v>1</v>
      </c>
      <c r="V14" s="45" t="b">
        <f>IFERROR(__xludf.DUMMYFUNCTION("""COMPUTED_VALUE"""),TRUE)</f>
        <v>1</v>
      </c>
      <c r="W14" s="45" t="b">
        <f>IFERROR(__xludf.DUMMYFUNCTION("""COMPUTED_VALUE"""),TRUE)</f>
        <v>1</v>
      </c>
      <c r="X14" s="45" t="b">
        <f>IFERROR(__xludf.DUMMYFUNCTION("""COMPUTED_VALUE"""),FALSE)</f>
        <v>0</v>
      </c>
      <c r="Y14" s="45" t="b">
        <f>IFERROR(__xludf.DUMMYFUNCTION("""COMPUTED_VALUE"""),FALSE)</f>
        <v>0</v>
      </c>
      <c r="Z14" s="45" t="b">
        <f>IFERROR(__xludf.DUMMYFUNCTION("""COMPUTED_VALUE"""),FALSE)</f>
        <v>0</v>
      </c>
      <c r="AA14" s="45" t="b">
        <f>IFERROR(__xludf.DUMMYFUNCTION("""COMPUTED_VALUE"""),FALSE)</f>
        <v>0</v>
      </c>
      <c r="AB14" s="45" t="b">
        <f>IFERROR(__xludf.DUMMYFUNCTION("""COMPUTED_VALUE"""),FALSE)</f>
        <v>0</v>
      </c>
      <c r="AC14" s="45" t="b">
        <f>IFERROR(__xludf.DUMMYFUNCTION("""COMPUTED_VALUE"""),TRUE)</f>
        <v>1</v>
      </c>
    </row>
    <row r="15">
      <c r="A15" s="25" t="b">
        <v>0</v>
      </c>
      <c r="B15" s="45" t="str">
        <f>IFERROR(__xludf.DUMMYFUNCTION("""COMPUTED_VALUE"""),"Oyster")</f>
        <v>Oyster</v>
      </c>
      <c r="C15" s="48">
        <f>IFERROR(__xludf.DUMMYFUNCTION("""COMPUTED_VALUE"""),1100.0)</f>
        <v>1100</v>
      </c>
      <c r="D15" s="45" t="str">
        <f>IFERROR(__xludf.DUMMYFUNCTION("""COMPUTED_VALUE"""),"All day")</f>
        <v>All day</v>
      </c>
      <c r="E15" s="45" t="b">
        <f>IFERROR(__xludf.DUMMYFUNCTION("""COMPUTED_VALUE"""),TRUE)</f>
        <v>1</v>
      </c>
      <c r="F15" s="45" t="b">
        <f>IFERROR(__xludf.DUMMYFUNCTION("""COMPUTED_VALUE"""),TRUE)</f>
        <v>1</v>
      </c>
      <c r="G15" s="45" t="b">
        <f>IFERROR(__xludf.DUMMYFUNCTION("""COMPUTED_VALUE"""),FALSE)</f>
        <v>0</v>
      </c>
      <c r="H15" s="45" t="b">
        <f>IFERROR(__xludf.DUMMYFUNCTION("""COMPUTED_VALUE"""),FALSE)</f>
        <v>0</v>
      </c>
      <c r="I15" s="45" t="b">
        <f>IFERROR(__xludf.DUMMYFUNCTION("""COMPUTED_VALUE"""),FALSE)</f>
        <v>0</v>
      </c>
      <c r="J15" s="45" t="b">
        <f>IFERROR(__xludf.DUMMYFUNCTION("""COMPUTED_VALUE"""),FALSE)</f>
        <v>0</v>
      </c>
      <c r="K15" s="45" t="b">
        <f>IFERROR(__xludf.DUMMYFUNCTION("""COMPUTED_VALUE"""),FALSE)</f>
        <v>0</v>
      </c>
      <c r="L15" s="45" t="b">
        <f>IFERROR(__xludf.DUMMYFUNCTION("""COMPUTED_VALUE"""),FALSE)</f>
        <v>0</v>
      </c>
      <c r="M15" s="45" t="b">
        <f>IFERROR(__xludf.DUMMYFUNCTION("""COMPUTED_VALUE"""),TRUE)</f>
        <v>1</v>
      </c>
      <c r="N15" s="45" t="b">
        <f>IFERROR(__xludf.DUMMYFUNCTION("""COMPUTED_VALUE"""),TRUE)</f>
        <v>1</v>
      </c>
      <c r="O15" s="45" t="b">
        <f>IFERROR(__xludf.DUMMYFUNCTION("""COMPUTED_VALUE"""),TRUE)</f>
        <v>1</v>
      </c>
      <c r="P15" s="45" t="b">
        <f>IFERROR(__xludf.DUMMYFUNCTION("""COMPUTED_VALUE"""),TRUE)</f>
        <v>1</v>
      </c>
      <c r="Q15" s="45"/>
      <c r="R15" s="45" t="b">
        <f>IFERROR(__xludf.DUMMYFUNCTION("""COMPUTED_VALUE"""),FALSE)</f>
        <v>0</v>
      </c>
      <c r="S15" s="45" t="b">
        <f>IFERROR(__xludf.DUMMYFUNCTION("""COMPUTED_VALUE"""),FALSE)</f>
        <v>0</v>
      </c>
      <c r="T15" s="45" t="b">
        <f>IFERROR(__xludf.DUMMYFUNCTION("""COMPUTED_VALUE"""),TRUE)</f>
        <v>1</v>
      </c>
      <c r="U15" s="45" t="b">
        <f>IFERROR(__xludf.DUMMYFUNCTION("""COMPUTED_VALUE"""),TRUE)</f>
        <v>1</v>
      </c>
      <c r="V15" s="45" t="b">
        <f>IFERROR(__xludf.DUMMYFUNCTION("""COMPUTED_VALUE"""),TRUE)</f>
        <v>1</v>
      </c>
      <c r="W15" s="45" t="b">
        <f>IFERROR(__xludf.DUMMYFUNCTION("""COMPUTED_VALUE"""),TRUE)</f>
        <v>1</v>
      </c>
      <c r="X15" s="45" t="b">
        <f>IFERROR(__xludf.DUMMYFUNCTION("""COMPUTED_VALUE"""),TRUE)</f>
        <v>1</v>
      </c>
      <c r="Y15" s="45" t="b">
        <f>IFERROR(__xludf.DUMMYFUNCTION("""COMPUTED_VALUE"""),TRUE)</f>
        <v>1</v>
      </c>
      <c r="Z15" s="45" t="b">
        <f>IFERROR(__xludf.DUMMYFUNCTION("""COMPUTED_VALUE"""),FALSE)</f>
        <v>0</v>
      </c>
      <c r="AA15" s="45" t="b">
        <f>IFERROR(__xludf.DUMMYFUNCTION("""COMPUTED_VALUE"""),FALSE)</f>
        <v>0</v>
      </c>
      <c r="AB15" s="45" t="b">
        <f>IFERROR(__xludf.DUMMYFUNCTION("""COMPUTED_VALUE"""),FALSE)</f>
        <v>0</v>
      </c>
      <c r="AC15" s="45" t="b">
        <f>IFERROR(__xludf.DUMMYFUNCTION("""COMPUTED_VALUE"""),FALSE)</f>
        <v>0</v>
      </c>
    </row>
    <row r="16">
      <c r="A16" s="25" t="b">
        <v>0</v>
      </c>
      <c r="B16" s="45" t="str">
        <f>IFERROR(__xludf.DUMMYFUNCTION("""COMPUTED_VALUE"""),"Scallop")</f>
        <v>Scallop</v>
      </c>
      <c r="C16" s="48">
        <f>IFERROR(__xludf.DUMMYFUNCTION("""COMPUTED_VALUE"""),1200.0)</f>
        <v>1200</v>
      </c>
      <c r="D16" s="45" t="str">
        <f>IFERROR(__xludf.DUMMYFUNCTION("""COMPUTED_VALUE"""),"All day")</f>
        <v>All day</v>
      </c>
      <c r="E16" s="45" t="b">
        <f>IFERROR(__xludf.DUMMYFUNCTION("""COMPUTED_VALUE"""),TRUE)</f>
        <v>1</v>
      </c>
      <c r="F16" s="45" t="b">
        <f>IFERROR(__xludf.DUMMYFUNCTION("""COMPUTED_VALUE"""),TRUE)</f>
        <v>1</v>
      </c>
      <c r="G16" s="45" t="b">
        <f>IFERROR(__xludf.DUMMYFUNCTION("""COMPUTED_VALUE"""),TRUE)</f>
        <v>1</v>
      </c>
      <c r="H16" s="45" t="b">
        <f>IFERROR(__xludf.DUMMYFUNCTION("""COMPUTED_VALUE"""),TRUE)</f>
        <v>1</v>
      </c>
      <c r="I16" s="45" t="b">
        <f>IFERROR(__xludf.DUMMYFUNCTION("""COMPUTED_VALUE"""),TRUE)</f>
        <v>1</v>
      </c>
      <c r="J16" s="45" t="b">
        <f>IFERROR(__xludf.DUMMYFUNCTION("""COMPUTED_VALUE"""),TRUE)</f>
        <v>1</v>
      </c>
      <c r="K16" s="45" t="b">
        <f>IFERROR(__xludf.DUMMYFUNCTION("""COMPUTED_VALUE"""),TRUE)</f>
        <v>1</v>
      </c>
      <c r="L16" s="45" t="b">
        <f>IFERROR(__xludf.DUMMYFUNCTION("""COMPUTED_VALUE"""),TRUE)</f>
        <v>1</v>
      </c>
      <c r="M16" s="45" t="b">
        <f>IFERROR(__xludf.DUMMYFUNCTION("""COMPUTED_VALUE"""),TRUE)</f>
        <v>1</v>
      </c>
      <c r="N16" s="45" t="b">
        <f>IFERROR(__xludf.DUMMYFUNCTION("""COMPUTED_VALUE"""),TRUE)</f>
        <v>1</v>
      </c>
      <c r="O16" s="45" t="b">
        <f>IFERROR(__xludf.DUMMYFUNCTION("""COMPUTED_VALUE"""),TRUE)</f>
        <v>1</v>
      </c>
      <c r="P16" s="45" t="b">
        <f>IFERROR(__xludf.DUMMYFUNCTION("""COMPUTED_VALUE"""),TRUE)</f>
        <v>1</v>
      </c>
      <c r="Q16" s="45"/>
      <c r="R16" s="45" t="b">
        <f>IFERROR(__xludf.DUMMYFUNCTION("""COMPUTED_VALUE"""),TRUE)</f>
        <v>1</v>
      </c>
      <c r="S16" s="45" t="b">
        <f>IFERROR(__xludf.DUMMYFUNCTION("""COMPUTED_VALUE"""),TRUE)</f>
        <v>1</v>
      </c>
      <c r="T16" s="45" t="b">
        <f>IFERROR(__xludf.DUMMYFUNCTION("""COMPUTED_VALUE"""),TRUE)</f>
        <v>1</v>
      </c>
      <c r="U16" s="45" t="b">
        <f>IFERROR(__xludf.DUMMYFUNCTION("""COMPUTED_VALUE"""),TRUE)</f>
        <v>1</v>
      </c>
      <c r="V16" s="45" t="b">
        <f>IFERROR(__xludf.DUMMYFUNCTION("""COMPUTED_VALUE"""),TRUE)</f>
        <v>1</v>
      </c>
      <c r="W16" s="45" t="b">
        <f>IFERROR(__xludf.DUMMYFUNCTION("""COMPUTED_VALUE"""),TRUE)</f>
        <v>1</v>
      </c>
      <c r="X16" s="45" t="b">
        <f>IFERROR(__xludf.DUMMYFUNCTION("""COMPUTED_VALUE"""),TRUE)</f>
        <v>1</v>
      </c>
      <c r="Y16" s="45" t="b">
        <f>IFERROR(__xludf.DUMMYFUNCTION("""COMPUTED_VALUE"""),TRUE)</f>
        <v>1</v>
      </c>
      <c r="Z16" s="45" t="b">
        <f>IFERROR(__xludf.DUMMYFUNCTION("""COMPUTED_VALUE"""),TRUE)</f>
        <v>1</v>
      </c>
      <c r="AA16" s="45" t="b">
        <f>IFERROR(__xludf.DUMMYFUNCTION("""COMPUTED_VALUE"""),TRUE)</f>
        <v>1</v>
      </c>
      <c r="AB16" s="45" t="b">
        <f>IFERROR(__xludf.DUMMYFUNCTION("""COMPUTED_VALUE"""),TRUE)</f>
        <v>1</v>
      </c>
      <c r="AC16" s="45" t="b">
        <f>IFERROR(__xludf.DUMMYFUNCTION("""COMPUTED_VALUE"""),TRUE)</f>
        <v>1</v>
      </c>
    </row>
    <row r="17">
      <c r="A17" s="25" t="b">
        <v>0</v>
      </c>
      <c r="B17" s="45" t="str">
        <f>IFERROR(__xludf.DUMMYFUNCTION("""COMPUTED_VALUE"""),"Whelk")</f>
        <v>Whelk</v>
      </c>
      <c r="C17" s="48">
        <f>IFERROR(__xludf.DUMMYFUNCTION("""COMPUTED_VALUE"""),1000.0)</f>
        <v>1000</v>
      </c>
      <c r="D17" s="45" t="str">
        <f>IFERROR(__xludf.DUMMYFUNCTION("""COMPUTED_VALUE"""),"All day")</f>
        <v>All day</v>
      </c>
      <c r="E17" s="45" t="b">
        <f>IFERROR(__xludf.DUMMYFUNCTION("""COMPUTED_VALUE"""),TRUE)</f>
        <v>1</v>
      </c>
      <c r="F17" s="45" t="b">
        <f>IFERROR(__xludf.DUMMYFUNCTION("""COMPUTED_VALUE"""),TRUE)</f>
        <v>1</v>
      </c>
      <c r="G17" s="45" t="b">
        <f>IFERROR(__xludf.DUMMYFUNCTION("""COMPUTED_VALUE"""),TRUE)</f>
        <v>1</v>
      </c>
      <c r="H17" s="45" t="b">
        <f>IFERROR(__xludf.DUMMYFUNCTION("""COMPUTED_VALUE"""),TRUE)</f>
        <v>1</v>
      </c>
      <c r="I17" s="45" t="b">
        <f>IFERROR(__xludf.DUMMYFUNCTION("""COMPUTED_VALUE"""),TRUE)</f>
        <v>1</v>
      </c>
      <c r="J17" s="45" t="b">
        <f>IFERROR(__xludf.DUMMYFUNCTION("""COMPUTED_VALUE"""),TRUE)</f>
        <v>1</v>
      </c>
      <c r="K17" s="45" t="b">
        <f>IFERROR(__xludf.DUMMYFUNCTION("""COMPUTED_VALUE"""),TRUE)</f>
        <v>1</v>
      </c>
      <c r="L17" s="45" t="b">
        <f>IFERROR(__xludf.DUMMYFUNCTION("""COMPUTED_VALUE"""),TRUE)</f>
        <v>1</v>
      </c>
      <c r="M17" s="45" t="b">
        <f>IFERROR(__xludf.DUMMYFUNCTION("""COMPUTED_VALUE"""),TRUE)</f>
        <v>1</v>
      </c>
      <c r="N17" s="45" t="b">
        <f>IFERROR(__xludf.DUMMYFUNCTION("""COMPUTED_VALUE"""),TRUE)</f>
        <v>1</v>
      </c>
      <c r="O17" s="45" t="b">
        <f>IFERROR(__xludf.DUMMYFUNCTION("""COMPUTED_VALUE"""),TRUE)</f>
        <v>1</v>
      </c>
      <c r="P17" s="45" t="b">
        <f>IFERROR(__xludf.DUMMYFUNCTION("""COMPUTED_VALUE"""),TRUE)</f>
        <v>1</v>
      </c>
      <c r="Q17" s="45"/>
      <c r="R17" s="45" t="b">
        <f>IFERROR(__xludf.DUMMYFUNCTION("""COMPUTED_VALUE"""),TRUE)</f>
        <v>1</v>
      </c>
      <c r="S17" s="45" t="b">
        <f>IFERROR(__xludf.DUMMYFUNCTION("""COMPUTED_VALUE"""),TRUE)</f>
        <v>1</v>
      </c>
      <c r="T17" s="45" t="b">
        <f>IFERROR(__xludf.DUMMYFUNCTION("""COMPUTED_VALUE"""),TRUE)</f>
        <v>1</v>
      </c>
      <c r="U17" s="45" t="b">
        <f>IFERROR(__xludf.DUMMYFUNCTION("""COMPUTED_VALUE"""),TRUE)</f>
        <v>1</v>
      </c>
      <c r="V17" s="45" t="b">
        <f>IFERROR(__xludf.DUMMYFUNCTION("""COMPUTED_VALUE"""),TRUE)</f>
        <v>1</v>
      </c>
      <c r="W17" s="45" t="b">
        <f>IFERROR(__xludf.DUMMYFUNCTION("""COMPUTED_VALUE"""),TRUE)</f>
        <v>1</v>
      </c>
      <c r="X17" s="45" t="b">
        <f>IFERROR(__xludf.DUMMYFUNCTION("""COMPUTED_VALUE"""),TRUE)</f>
        <v>1</v>
      </c>
      <c r="Y17" s="45" t="b">
        <f>IFERROR(__xludf.DUMMYFUNCTION("""COMPUTED_VALUE"""),TRUE)</f>
        <v>1</v>
      </c>
      <c r="Z17" s="45" t="b">
        <f>IFERROR(__xludf.DUMMYFUNCTION("""COMPUTED_VALUE"""),TRUE)</f>
        <v>1</v>
      </c>
      <c r="AA17" s="45" t="b">
        <f>IFERROR(__xludf.DUMMYFUNCTION("""COMPUTED_VALUE"""),TRUE)</f>
        <v>1</v>
      </c>
      <c r="AB17" s="45" t="b">
        <f>IFERROR(__xludf.DUMMYFUNCTION("""COMPUTED_VALUE"""),TRUE)</f>
        <v>1</v>
      </c>
      <c r="AC17" s="45" t="b">
        <f>IFERROR(__xludf.DUMMYFUNCTION("""COMPUTED_VALUE"""),TRUE)</f>
        <v>1</v>
      </c>
    </row>
    <row r="18">
      <c r="A18" s="25" t="b">
        <v>0</v>
      </c>
      <c r="B18" s="45" t="str">
        <f>IFERROR(__xludf.DUMMYFUNCTION("""COMPUTED_VALUE"""),"Turban shell")</f>
        <v>Turban shell</v>
      </c>
      <c r="C18" s="48">
        <f>IFERROR(__xludf.DUMMYFUNCTION("""COMPUTED_VALUE"""),1000.0)</f>
        <v>1000</v>
      </c>
      <c r="D18" s="45" t="str">
        <f>IFERROR(__xludf.DUMMYFUNCTION("""COMPUTED_VALUE"""),"All day")</f>
        <v>All day</v>
      </c>
      <c r="E18" s="45" t="b">
        <f>IFERROR(__xludf.DUMMYFUNCTION("""COMPUTED_VALUE"""),FALSE)</f>
        <v>0</v>
      </c>
      <c r="F18" s="45" t="b">
        <f>IFERROR(__xludf.DUMMYFUNCTION("""COMPUTED_VALUE"""),FALSE)</f>
        <v>0</v>
      </c>
      <c r="G18" s="45" t="b">
        <f>IFERROR(__xludf.DUMMYFUNCTION("""COMPUTED_VALUE"""),TRUE)</f>
        <v>1</v>
      </c>
      <c r="H18" s="45" t="b">
        <f>IFERROR(__xludf.DUMMYFUNCTION("""COMPUTED_VALUE"""),TRUE)</f>
        <v>1</v>
      </c>
      <c r="I18" s="45" t="b">
        <f>IFERROR(__xludf.DUMMYFUNCTION("""COMPUTED_VALUE"""),TRUE)</f>
        <v>1</v>
      </c>
      <c r="J18" s="45" t="b">
        <f>IFERROR(__xludf.DUMMYFUNCTION("""COMPUTED_VALUE"""),FALSE)</f>
        <v>0</v>
      </c>
      <c r="K18" s="45" t="b">
        <f>IFERROR(__xludf.DUMMYFUNCTION("""COMPUTED_VALUE"""),FALSE)</f>
        <v>0</v>
      </c>
      <c r="L18" s="45" t="b">
        <f>IFERROR(__xludf.DUMMYFUNCTION("""COMPUTED_VALUE"""),FALSE)</f>
        <v>0</v>
      </c>
      <c r="M18" s="45" t="b">
        <f>IFERROR(__xludf.DUMMYFUNCTION("""COMPUTED_VALUE"""),TRUE)</f>
        <v>1</v>
      </c>
      <c r="N18" s="45" t="b">
        <f>IFERROR(__xludf.DUMMYFUNCTION("""COMPUTED_VALUE"""),TRUE)</f>
        <v>1</v>
      </c>
      <c r="O18" s="45" t="b">
        <f>IFERROR(__xludf.DUMMYFUNCTION("""COMPUTED_VALUE"""),TRUE)</f>
        <v>1</v>
      </c>
      <c r="P18" s="45" t="b">
        <f>IFERROR(__xludf.DUMMYFUNCTION("""COMPUTED_VALUE"""),TRUE)</f>
        <v>1</v>
      </c>
      <c r="Q18" s="45"/>
      <c r="R18" s="45" t="b">
        <f>IFERROR(__xludf.DUMMYFUNCTION("""COMPUTED_VALUE"""),FALSE)</f>
        <v>0</v>
      </c>
      <c r="S18" s="45" t="b">
        <f>IFERROR(__xludf.DUMMYFUNCTION("""COMPUTED_VALUE"""),FALSE)</f>
        <v>0</v>
      </c>
      <c r="T18" s="45" t="b">
        <f>IFERROR(__xludf.DUMMYFUNCTION("""COMPUTED_VALUE"""),TRUE)</f>
        <v>1</v>
      </c>
      <c r="U18" s="45" t="b">
        <f>IFERROR(__xludf.DUMMYFUNCTION("""COMPUTED_VALUE"""),TRUE)</f>
        <v>1</v>
      </c>
      <c r="V18" s="45" t="b">
        <f>IFERROR(__xludf.DUMMYFUNCTION("""COMPUTED_VALUE"""),TRUE)</f>
        <v>1</v>
      </c>
      <c r="W18" s="45" t="b">
        <f>IFERROR(__xludf.DUMMYFUNCTION("""COMPUTED_VALUE"""),TRUE)</f>
        <v>1</v>
      </c>
      <c r="X18" s="45" t="b">
        <f>IFERROR(__xludf.DUMMYFUNCTION("""COMPUTED_VALUE"""),FALSE)</f>
        <v>0</v>
      </c>
      <c r="Y18" s="45" t="b">
        <f>IFERROR(__xludf.DUMMYFUNCTION("""COMPUTED_VALUE"""),FALSE)</f>
        <v>0</v>
      </c>
      <c r="Z18" s="45" t="b">
        <f>IFERROR(__xludf.DUMMYFUNCTION("""COMPUTED_VALUE"""),TRUE)</f>
        <v>1</v>
      </c>
      <c r="AA18" s="45" t="b">
        <f>IFERROR(__xludf.DUMMYFUNCTION("""COMPUTED_VALUE"""),TRUE)</f>
        <v>1</v>
      </c>
      <c r="AB18" s="45" t="b">
        <f>IFERROR(__xludf.DUMMYFUNCTION("""COMPUTED_VALUE"""),TRUE)</f>
        <v>1</v>
      </c>
      <c r="AC18" s="45" t="b">
        <f>IFERROR(__xludf.DUMMYFUNCTION("""COMPUTED_VALUE"""),FALSE)</f>
        <v>0</v>
      </c>
    </row>
    <row r="19">
      <c r="A19" s="25" t="b">
        <v>0</v>
      </c>
      <c r="B19" s="45" t="str">
        <f>IFERROR(__xludf.DUMMYFUNCTION("""COMPUTED_VALUE"""),"Abalone")</f>
        <v>Abalone</v>
      </c>
      <c r="C19" s="48">
        <f>IFERROR(__xludf.DUMMYFUNCTION("""COMPUTED_VALUE"""),2000.0)</f>
        <v>2000</v>
      </c>
      <c r="D19" s="45" t="str">
        <f>IFERROR(__xludf.DUMMYFUNCTION("""COMPUTED_VALUE"""),"4 p.m. - 9 a.m.")</f>
        <v>4 p.m. - 9 a.m.</v>
      </c>
      <c r="E19" s="45" t="b">
        <f>IFERROR(__xludf.DUMMYFUNCTION("""COMPUTED_VALUE"""),TRUE)</f>
        <v>1</v>
      </c>
      <c r="F19" s="45" t="b">
        <f>IFERROR(__xludf.DUMMYFUNCTION("""COMPUTED_VALUE"""),FALSE)</f>
        <v>0</v>
      </c>
      <c r="G19" s="45" t="b">
        <f>IFERROR(__xludf.DUMMYFUNCTION("""COMPUTED_VALUE"""),FALSE)</f>
        <v>0</v>
      </c>
      <c r="H19" s="45" t="b">
        <f>IFERROR(__xludf.DUMMYFUNCTION("""COMPUTED_VALUE"""),FALSE)</f>
        <v>0</v>
      </c>
      <c r="I19" s="45" t="b">
        <f>IFERROR(__xludf.DUMMYFUNCTION("""COMPUTED_VALUE"""),FALSE)</f>
        <v>0</v>
      </c>
      <c r="J19" s="45" t="b">
        <f>IFERROR(__xludf.DUMMYFUNCTION("""COMPUTED_VALUE"""),TRUE)</f>
        <v>1</v>
      </c>
      <c r="K19" s="45" t="b">
        <f>IFERROR(__xludf.DUMMYFUNCTION("""COMPUTED_VALUE"""),TRUE)</f>
        <v>1</v>
      </c>
      <c r="L19" s="45" t="b">
        <f>IFERROR(__xludf.DUMMYFUNCTION("""COMPUTED_VALUE"""),TRUE)</f>
        <v>1</v>
      </c>
      <c r="M19" s="45" t="b">
        <f>IFERROR(__xludf.DUMMYFUNCTION("""COMPUTED_VALUE"""),TRUE)</f>
        <v>1</v>
      </c>
      <c r="N19" s="45" t="b">
        <f>IFERROR(__xludf.DUMMYFUNCTION("""COMPUTED_VALUE"""),TRUE)</f>
        <v>1</v>
      </c>
      <c r="O19" s="45" t="b">
        <f>IFERROR(__xludf.DUMMYFUNCTION("""COMPUTED_VALUE"""),TRUE)</f>
        <v>1</v>
      </c>
      <c r="P19" s="45" t="b">
        <f>IFERROR(__xludf.DUMMYFUNCTION("""COMPUTED_VALUE"""),TRUE)</f>
        <v>1</v>
      </c>
      <c r="Q19" s="45"/>
      <c r="R19" s="45" t="b">
        <f>IFERROR(__xludf.DUMMYFUNCTION("""COMPUTED_VALUE"""),TRUE)</f>
        <v>1</v>
      </c>
      <c r="S19" s="45" t="b">
        <f>IFERROR(__xludf.DUMMYFUNCTION("""COMPUTED_VALUE"""),TRUE)</f>
        <v>1</v>
      </c>
      <c r="T19" s="45" t="b">
        <f>IFERROR(__xludf.DUMMYFUNCTION("""COMPUTED_VALUE"""),TRUE)</f>
        <v>1</v>
      </c>
      <c r="U19" s="45" t="b">
        <f>IFERROR(__xludf.DUMMYFUNCTION("""COMPUTED_VALUE"""),TRUE)</f>
        <v>1</v>
      </c>
      <c r="V19" s="45" t="b">
        <f>IFERROR(__xludf.DUMMYFUNCTION("""COMPUTED_VALUE"""),TRUE)</f>
        <v>1</v>
      </c>
      <c r="W19" s="45" t="b">
        <f>IFERROR(__xludf.DUMMYFUNCTION("""COMPUTED_VALUE"""),TRUE)</f>
        <v>1</v>
      </c>
      <c r="X19" s="45" t="b">
        <f>IFERROR(__xludf.DUMMYFUNCTION("""COMPUTED_VALUE"""),TRUE)</f>
        <v>1</v>
      </c>
      <c r="Y19" s="45" t="b">
        <f>IFERROR(__xludf.DUMMYFUNCTION("""COMPUTED_VALUE"""),FALSE)</f>
        <v>0</v>
      </c>
      <c r="Z19" s="45" t="b">
        <f>IFERROR(__xludf.DUMMYFUNCTION("""COMPUTED_VALUE"""),FALSE)</f>
        <v>0</v>
      </c>
      <c r="AA19" s="45" t="b">
        <f>IFERROR(__xludf.DUMMYFUNCTION("""COMPUTED_VALUE"""),FALSE)</f>
        <v>0</v>
      </c>
      <c r="AB19" s="45" t="b">
        <f>IFERROR(__xludf.DUMMYFUNCTION("""COMPUTED_VALUE"""),FALSE)</f>
        <v>0</v>
      </c>
      <c r="AC19" s="45" t="b">
        <f>IFERROR(__xludf.DUMMYFUNCTION("""COMPUTED_VALUE"""),TRUE)</f>
        <v>1</v>
      </c>
    </row>
    <row r="20">
      <c r="A20" s="25" t="b">
        <v>0</v>
      </c>
      <c r="B20" s="45" t="str">
        <f>IFERROR(__xludf.DUMMYFUNCTION("""COMPUTED_VALUE"""),"Gigas giant clam")</f>
        <v>Gigas giant clam</v>
      </c>
      <c r="C20" s="48">
        <f>IFERROR(__xludf.DUMMYFUNCTION("""COMPUTED_VALUE"""),15000.0)</f>
        <v>15000</v>
      </c>
      <c r="D20" s="45" t="str">
        <f>IFERROR(__xludf.DUMMYFUNCTION("""COMPUTED_VALUE"""),"All day")</f>
        <v>All day</v>
      </c>
      <c r="E20" s="45" t="b">
        <f>IFERROR(__xludf.DUMMYFUNCTION("""COMPUTED_VALUE"""),FALSE)</f>
        <v>0</v>
      </c>
      <c r="F20" s="45" t="b">
        <f>IFERROR(__xludf.DUMMYFUNCTION("""COMPUTED_VALUE"""),FALSE)</f>
        <v>0</v>
      </c>
      <c r="G20" s="45" t="b">
        <f>IFERROR(__xludf.DUMMYFUNCTION("""COMPUTED_VALUE"""),FALSE)</f>
        <v>0</v>
      </c>
      <c r="H20" s="45" t="b">
        <f>IFERROR(__xludf.DUMMYFUNCTION("""COMPUTED_VALUE"""),FALSE)</f>
        <v>0</v>
      </c>
      <c r="I20" s="45" t="b">
        <f>IFERROR(__xludf.DUMMYFUNCTION("""COMPUTED_VALUE"""),TRUE)</f>
        <v>1</v>
      </c>
      <c r="J20" s="45" t="b">
        <f>IFERROR(__xludf.DUMMYFUNCTION("""COMPUTED_VALUE"""),TRUE)</f>
        <v>1</v>
      </c>
      <c r="K20" s="45" t="b">
        <f>IFERROR(__xludf.DUMMYFUNCTION("""COMPUTED_VALUE"""),TRUE)</f>
        <v>1</v>
      </c>
      <c r="L20" s="45" t="b">
        <f>IFERROR(__xludf.DUMMYFUNCTION("""COMPUTED_VALUE"""),TRUE)</f>
        <v>1</v>
      </c>
      <c r="M20" s="45" t="b">
        <f>IFERROR(__xludf.DUMMYFUNCTION("""COMPUTED_VALUE"""),TRUE)</f>
        <v>1</v>
      </c>
      <c r="N20" s="45" t="b">
        <f>IFERROR(__xludf.DUMMYFUNCTION("""COMPUTED_VALUE"""),FALSE)</f>
        <v>0</v>
      </c>
      <c r="O20" s="45" t="b">
        <f>IFERROR(__xludf.DUMMYFUNCTION("""COMPUTED_VALUE"""),FALSE)</f>
        <v>0</v>
      </c>
      <c r="P20" s="45" t="b">
        <f>IFERROR(__xludf.DUMMYFUNCTION("""COMPUTED_VALUE"""),FALSE)</f>
        <v>0</v>
      </c>
      <c r="Q20" s="45"/>
      <c r="R20" s="45" t="b">
        <f>IFERROR(__xludf.DUMMYFUNCTION("""COMPUTED_VALUE"""),TRUE)</f>
        <v>1</v>
      </c>
      <c r="S20" s="45" t="b">
        <f>IFERROR(__xludf.DUMMYFUNCTION("""COMPUTED_VALUE"""),TRUE)</f>
        <v>1</v>
      </c>
      <c r="T20" s="45" t="b">
        <f>IFERROR(__xludf.DUMMYFUNCTION("""COMPUTED_VALUE"""),TRUE)</f>
        <v>1</v>
      </c>
      <c r="U20" s="45" t="b">
        <f>IFERROR(__xludf.DUMMYFUNCTION("""COMPUTED_VALUE"""),FALSE)</f>
        <v>0</v>
      </c>
      <c r="V20" s="45" t="b">
        <f>IFERROR(__xludf.DUMMYFUNCTION("""COMPUTED_VALUE"""),FALSE)</f>
        <v>0</v>
      </c>
      <c r="W20" s="45" t="b">
        <f>IFERROR(__xludf.DUMMYFUNCTION("""COMPUTED_VALUE"""),FALSE)</f>
        <v>0</v>
      </c>
      <c r="X20" s="45" t="b">
        <f>IFERROR(__xludf.DUMMYFUNCTION("""COMPUTED_VALUE"""),FALSE)</f>
        <v>0</v>
      </c>
      <c r="Y20" s="45" t="b">
        <f>IFERROR(__xludf.DUMMYFUNCTION("""COMPUTED_VALUE"""),FALSE)</f>
        <v>0</v>
      </c>
      <c r="Z20" s="45" t="b">
        <f>IFERROR(__xludf.DUMMYFUNCTION("""COMPUTED_VALUE"""),FALSE)</f>
        <v>0</v>
      </c>
      <c r="AA20" s="45" t="b">
        <f>IFERROR(__xludf.DUMMYFUNCTION("""COMPUTED_VALUE"""),FALSE)</f>
        <v>0</v>
      </c>
      <c r="AB20" s="45" t="b">
        <f>IFERROR(__xludf.DUMMYFUNCTION("""COMPUTED_VALUE"""),TRUE)</f>
        <v>1</v>
      </c>
      <c r="AC20" s="45" t="b">
        <f>IFERROR(__xludf.DUMMYFUNCTION("""COMPUTED_VALUE"""),TRUE)</f>
        <v>1</v>
      </c>
    </row>
    <row r="21">
      <c r="A21" s="25" t="b">
        <v>0</v>
      </c>
      <c r="B21" s="45" t="str">
        <f>IFERROR(__xludf.DUMMYFUNCTION("""COMPUTED_VALUE"""),"Chambered nautilus")</f>
        <v>Chambered nautilus</v>
      </c>
      <c r="C21" s="48">
        <f>IFERROR(__xludf.DUMMYFUNCTION("""COMPUTED_VALUE"""),1800.0)</f>
        <v>1800</v>
      </c>
      <c r="D21" s="45" t="str">
        <f>IFERROR(__xludf.DUMMYFUNCTION("""COMPUTED_VALUE"""),"4 p.m. - 9 a.m.")</f>
        <v>4 p.m. - 9 a.m.</v>
      </c>
      <c r="E21" s="45" t="b">
        <f>IFERROR(__xludf.DUMMYFUNCTION("""COMPUTED_VALUE"""),FALSE)</f>
        <v>0</v>
      </c>
      <c r="F21" s="45" t="b">
        <f>IFERROR(__xludf.DUMMYFUNCTION("""COMPUTED_VALUE"""),FALSE)</f>
        <v>0</v>
      </c>
      <c r="G21" s="45" t="b">
        <f>IFERROR(__xludf.DUMMYFUNCTION("""COMPUTED_VALUE"""),TRUE)</f>
        <v>1</v>
      </c>
      <c r="H21" s="45" t="b">
        <f>IFERROR(__xludf.DUMMYFUNCTION("""COMPUTED_VALUE"""),TRUE)</f>
        <v>1</v>
      </c>
      <c r="I21" s="45" t="b">
        <f>IFERROR(__xludf.DUMMYFUNCTION("""COMPUTED_VALUE"""),TRUE)</f>
        <v>1</v>
      </c>
      <c r="J21" s="45" t="b">
        <f>IFERROR(__xludf.DUMMYFUNCTION("""COMPUTED_VALUE"""),TRUE)</f>
        <v>1</v>
      </c>
      <c r="K21" s="45" t="b">
        <f>IFERROR(__xludf.DUMMYFUNCTION("""COMPUTED_VALUE"""),FALSE)</f>
        <v>0</v>
      </c>
      <c r="L21" s="45" t="b">
        <f>IFERROR(__xludf.DUMMYFUNCTION("""COMPUTED_VALUE"""),FALSE)</f>
        <v>0</v>
      </c>
      <c r="M21" s="45" t="b">
        <f>IFERROR(__xludf.DUMMYFUNCTION("""COMPUTED_VALUE"""),TRUE)</f>
        <v>1</v>
      </c>
      <c r="N21" s="45" t="b">
        <f>IFERROR(__xludf.DUMMYFUNCTION("""COMPUTED_VALUE"""),TRUE)</f>
        <v>1</v>
      </c>
      <c r="O21" s="45" t="b">
        <f>IFERROR(__xludf.DUMMYFUNCTION("""COMPUTED_VALUE"""),TRUE)</f>
        <v>1</v>
      </c>
      <c r="P21" s="45" t="b">
        <f>IFERROR(__xludf.DUMMYFUNCTION("""COMPUTED_VALUE"""),FALSE)</f>
        <v>0</v>
      </c>
      <c r="Q21" s="45"/>
      <c r="R21" s="45" t="b">
        <f>IFERROR(__xludf.DUMMYFUNCTION("""COMPUTED_VALUE"""),FALSE)</f>
        <v>0</v>
      </c>
      <c r="S21" s="45" t="b">
        <f>IFERROR(__xludf.DUMMYFUNCTION("""COMPUTED_VALUE"""),FALSE)</f>
        <v>0</v>
      </c>
      <c r="T21" s="45" t="b">
        <f>IFERROR(__xludf.DUMMYFUNCTION("""COMPUTED_VALUE"""),TRUE)</f>
        <v>1</v>
      </c>
      <c r="U21" s="45" t="b">
        <f>IFERROR(__xludf.DUMMYFUNCTION("""COMPUTED_VALUE"""),TRUE)</f>
        <v>1</v>
      </c>
      <c r="V21" s="45" t="b">
        <f>IFERROR(__xludf.DUMMYFUNCTION("""COMPUTED_VALUE"""),TRUE)</f>
        <v>1</v>
      </c>
      <c r="W21" s="45" t="b">
        <f>IFERROR(__xludf.DUMMYFUNCTION("""COMPUTED_VALUE"""),FALSE)</f>
        <v>0</v>
      </c>
      <c r="X21" s="45" t="b">
        <f>IFERROR(__xludf.DUMMYFUNCTION("""COMPUTED_VALUE"""),FALSE)</f>
        <v>0</v>
      </c>
      <c r="Y21" s="45" t="b">
        <f>IFERROR(__xludf.DUMMYFUNCTION("""COMPUTED_VALUE"""),FALSE)</f>
        <v>0</v>
      </c>
      <c r="Z21" s="45" t="b">
        <f>IFERROR(__xludf.DUMMYFUNCTION("""COMPUTED_VALUE"""),TRUE)</f>
        <v>1</v>
      </c>
      <c r="AA21" s="45" t="b">
        <f>IFERROR(__xludf.DUMMYFUNCTION("""COMPUTED_VALUE"""),TRUE)</f>
        <v>1</v>
      </c>
      <c r="AB21" s="45" t="b">
        <f>IFERROR(__xludf.DUMMYFUNCTION("""COMPUTED_VALUE"""),TRUE)</f>
        <v>1</v>
      </c>
      <c r="AC21" s="45" t="b">
        <f>IFERROR(__xludf.DUMMYFUNCTION("""COMPUTED_VALUE"""),TRUE)</f>
        <v>1</v>
      </c>
    </row>
    <row r="22">
      <c r="A22" s="25" t="b">
        <v>0</v>
      </c>
      <c r="B22" s="45" t="str">
        <f>IFERROR(__xludf.DUMMYFUNCTION("""COMPUTED_VALUE"""),"Octopus")</f>
        <v>Octopus</v>
      </c>
      <c r="C22" s="48">
        <f>IFERROR(__xludf.DUMMYFUNCTION("""COMPUTED_VALUE"""),1200.0)</f>
        <v>1200</v>
      </c>
      <c r="D22" s="45" t="str">
        <f>IFERROR(__xludf.DUMMYFUNCTION("""COMPUTED_VALUE"""),"All day")</f>
        <v>All day</v>
      </c>
      <c r="E22" s="45" t="b">
        <f>IFERROR(__xludf.DUMMYFUNCTION("""COMPUTED_VALUE"""),TRUE)</f>
        <v>1</v>
      </c>
      <c r="F22" s="45" t="b">
        <f>IFERROR(__xludf.DUMMYFUNCTION("""COMPUTED_VALUE"""),TRUE)</f>
        <v>1</v>
      </c>
      <c r="G22" s="45" t="b">
        <f>IFERROR(__xludf.DUMMYFUNCTION("""COMPUTED_VALUE"""),TRUE)</f>
        <v>1</v>
      </c>
      <c r="H22" s="45" t="b">
        <f>IFERROR(__xludf.DUMMYFUNCTION("""COMPUTED_VALUE"""),TRUE)</f>
        <v>1</v>
      </c>
      <c r="I22" s="45" t="b">
        <f>IFERROR(__xludf.DUMMYFUNCTION("""COMPUTED_VALUE"""),TRUE)</f>
        <v>1</v>
      </c>
      <c r="J22" s="45" t="b">
        <f>IFERROR(__xludf.DUMMYFUNCTION("""COMPUTED_VALUE"""),TRUE)</f>
        <v>1</v>
      </c>
      <c r="K22" s="45" t="b">
        <f>IFERROR(__xludf.DUMMYFUNCTION("""COMPUTED_VALUE"""),TRUE)</f>
        <v>1</v>
      </c>
      <c r="L22" s="45" t="b">
        <f>IFERROR(__xludf.DUMMYFUNCTION("""COMPUTED_VALUE"""),TRUE)</f>
        <v>1</v>
      </c>
      <c r="M22" s="45" t="b">
        <f>IFERROR(__xludf.DUMMYFUNCTION("""COMPUTED_VALUE"""),TRUE)</f>
        <v>1</v>
      </c>
      <c r="N22" s="45" t="b">
        <f>IFERROR(__xludf.DUMMYFUNCTION("""COMPUTED_VALUE"""),TRUE)</f>
        <v>1</v>
      </c>
      <c r="O22" s="45" t="b">
        <f>IFERROR(__xludf.DUMMYFUNCTION("""COMPUTED_VALUE"""),TRUE)</f>
        <v>1</v>
      </c>
      <c r="P22" s="45" t="b">
        <f>IFERROR(__xludf.DUMMYFUNCTION("""COMPUTED_VALUE"""),TRUE)</f>
        <v>1</v>
      </c>
      <c r="Q22" s="45"/>
      <c r="R22" s="45" t="b">
        <f>IFERROR(__xludf.DUMMYFUNCTION("""COMPUTED_VALUE"""),TRUE)</f>
        <v>1</v>
      </c>
      <c r="S22" s="45" t="b">
        <f>IFERROR(__xludf.DUMMYFUNCTION("""COMPUTED_VALUE"""),TRUE)</f>
        <v>1</v>
      </c>
      <c r="T22" s="45" t="b">
        <f>IFERROR(__xludf.DUMMYFUNCTION("""COMPUTED_VALUE"""),TRUE)</f>
        <v>1</v>
      </c>
      <c r="U22" s="45" t="b">
        <f>IFERROR(__xludf.DUMMYFUNCTION("""COMPUTED_VALUE"""),TRUE)</f>
        <v>1</v>
      </c>
      <c r="V22" s="45" t="b">
        <f>IFERROR(__xludf.DUMMYFUNCTION("""COMPUTED_VALUE"""),TRUE)</f>
        <v>1</v>
      </c>
      <c r="W22" s="45" t="b">
        <f>IFERROR(__xludf.DUMMYFUNCTION("""COMPUTED_VALUE"""),TRUE)</f>
        <v>1</v>
      </c>
      <c r="X22" s="45" t="b">
        <f>IFERROR(__xludf.DUMMYFUNCTION("""COMPUTED_VALUE"""),TRUE)</f>
        <v>1</v>
      </c>
      <c r="Y22" s="45" t="b">
        <f>IFERROR(__xludf.DUMMYFUNCTION("""COMPUTED_VALUE"""),TRUE)</f>
        <v>1</v>
      </c>
      <c r="Z22" s="45" t="b">
        <f>IFERROR(__xludf.DUMMYFUNCTION("""COMPUTED_VALUE"""),TRUE)</f>
        <v>1</v>
      </c>
      <c r="AA22" s="45" t="b">
        <f>IFERROR(__xludf.DUMMYFUNCTION("""COMPUTED_VALUE"""),TRUE)</f>
        <v>1</v>
      </c>
      <c r="AB22" s="45" t="b">
        <f>IFERROR(__xludf.DUMMYFUNCTION("""COMPUTED_VALUE"""),TRUE)</f>
        <v>1</v>
      </c>
      <c r="AC22" s="45" t="b">
        <f>IFERROR(__xludf.DUMMYFUNCTION("""COMPUTED_VALUE"""),TRUE)</f>
        <v>1</v>
      </c>
    </row>
    <row r="23">
      <c r="A23" s="25" t="b">
        <v>0</v>
      </c>
      <c r="B23" s="45" t="str">
        <f>IFERROR(__xludf.DUMMYFUNCTION("""COMPUTED_VALUE"""),"Umbrella octopus")</f>
        <v>Umbrella octopus</v>
      </c>
      <c r="C23" s="48">
        <f>IFERROR(__xludf.DUMMYFUNCTION("""COMPUTED_VALUE"""),6000.0)</f>
        <v>6000</v>
      </c>
      <c r="D23" s="45" t="str">
        <f>IFERROR(__xludf.DUMMYFUNCTION("""COMPUTED_VALUE"""),"All day")</f>
        <v>All day</v>
      </c>
      <c r="E23" s="45" t="b">
        <f>IFERROR(__xludf.DUMMYFUNCTION("""COMPUTED_VALUE"""),FALSE)</f>
        <v>0</v>
      </c>
      <c r="F23" s="45" t="b">
        <f>IFERROR(__xludf.DUMMYFUNCTION("""COMPUTED_VALUE"""),FALSE)</f>
        <v>0</v>
      </c>
      <c r="G23" s="45" t="b">
        <f>IFERROR(__xludf.DUMMYFUNCTION("""COMPUTED_VALUE"""),TRUE)</f>
        <v>1</v>
      </c>
      <c r="H23" s="45" t="b">
        <f>IFERROR(__xludf.DUMMYFUNCTION("""COMPUTED_VALUE"""),TRUE)</f>
        <v>1</v>
      </c>
      <c r="I23" s="45" t="b">
        <f>IFERROR(__xludf.DUMMYFUNCTION("""COMPUTED_VALUE"""),TRUE)</f>
        <v>1</v>
      </c>
      <c r="J23" s="45" t="b">
        <f>IFERROR(__xludf.DUMMYFUNCTION("""COMPUTED_VALUE"""),FALSE)</f>
        <v>0</v>
      </c>
      <c r="K23" s="45" t="b">
        <f>IFERROR(__xludf.DUMMYFUNCTION("""COMPUTED_VALUE"""),FALSE)</f>
        <v>0</v>
      </c>
      <c r="L23" s="45" t="b">
        <f>IFERROR(__xludf.DUMMYFUNCTION("""COMPUTED_VALUE"""),FALSE)</f>
        <v>0</v>
      </c>
      <c r="M23" s="45" t="b">
        <f>IFERROR(__xludf.DUMMYFUNCTION("""COMPUTED_VALUE"""),TRUE)</f>
        <v>1</v>
      </c>
      <c r="N23" s="45" t="b">
        <f>IFERROR(__xludf.DUMMYFUNCTION("""COMPUTED_VALUE"""),TRUE)</f>
        <v>1</v>
      </c>
      <c r="O23" s="45" t="b">
        <f>IFERROR(__xludf.DUMMYFUNCTION("""COMPUTED_VALUE"""),TRUE)</f>
        <v>1</v>
      </c>
      <c r="P23" s="45" t="b">
        <f>IFERROR(__xludf.DUMMYFUNCTION("""COMPUTED_VALUE"""),FALSE)</f>
        <v>0</v>
      </c>
      <c r="Q23" s="45"/>
      <c r="R23" s="45" t="b">
        <f>IFERROR(__xludf.DUMMYFUNCTION("""COMPUTED_VALUE"""),FALSE)</f>
        <v>0</v>
      </c>
      <c r="S23" s="45" t="b">
        <f>IFERROR(__xludf.DUMMYFUNCTION("""COMPUTED_VALUE"""),FALSE)</f>
        <v>0</v>
      </c>
      <c r="T23" s="45" t="b">
        <f>IFERROR(__xludf.DUMMYFUNCTION("""COMPUTED_VALUE"""),TRUE)</f>
        <v>1</v>
      </c>
      <c r="U23" s="45" t="b">
        <f>IFERROR(__xludf.DUMMYFUNCTION("""COMPUTED_VALUE"""),TRUE)</f>
        <v>1</v>
      </c>
      <c r="V23" s="45" t="b">
        <f>IFERROR(__xludf.DUMMYFUNCTION("""COMPUTED_VALUE"""),TRUE)</f>
        <v>1</v>
      </c>
      <c r="W23" s="45" t="b">
        <f>IFERROR(__xludf.DUMMYFUNCTION("""COMPUTED_VALUE"""),FALSE)</f>
        <v>0</v>
      </c>
      <c r="X23" s="45" t="b">
        <f>IFERROR(__xludf.DUMMYFUNCTION("""COMPUTED_VALUE"""),FALSE)</f>
        <v>0</v>
      </c>
      <c r="Y23" s="45" t="b">
        <f>IFERROR(__xludf.DUMMYFUNCTION("""COMPUTED_VALUE"""),FALSE)</f>
        <v>0</v>
      </c>
      <c r="Z23" s="45" t="b">
        <f>IFERROR(__xludf.DUMMYFUNCTION("""COMPUTED_VALUE"""),TRUE)</f>
        <v>1</v>
      </c>
      <c r="AA23" s="45" t="b">
        <f>IFERROR(__xludf.DUMMYFUNCTION("""COMPUTED_VALUE"""),TRUE)</f>
        <v>1</v>
      </c>
      <c r="AB23" s="45" t="b">
        <f>IFERROR(__xludf.DUMMYFUNCTION("""COMPUTED_VALUE"""),TRUE)</f>
        <v>1</v>
      </c>
      <c r="AC23" s="45" t="b">
        <f>IFERROR(__xludf.DUMMYFUNCTION("""COMPUTED_VALUE"""),FALSE)</f>
        <v>0</v>
      </c>
    </row>
    <row r="24">
      <c r="A24" s="25" t="b">
        <v>0</v>
      </c>
      <c r="B24" s="45" t="str">
        <f>IFERROR(__xludf.DUMMYFUNCTION("""COMPUTED_VALUE"""),"Vampire squid")</f>
        <v>Vampire squid</v>
      </c>
      <c r="C24" s="48">
        <f>IFERROR(__xludf.DUMMYFUNCTION("""COMPUTED_VALUE"""),10000.0)</f>
        <v>10000</v>
      </c>
      <c r="D24" s="45" t="str">
        <f>IFERROR(__xludf.DUMMYFUNCTION("""COMPUTED_VALUE"""),"4 p.m. - 9 a.m.")</f>
        <v>4 p.m. - 9 a.m.</v>
      </c>
      <c r="E24" s="45" t="b">
        <f>IFERROR(__xludf.DUMMYFUNCTION("""COMPUTED_VALUE"""),FALSE)</f>
        <v>0</v>
      </c>
      <c r="F24" s="45" t="b">
        <f>IFERROR(__xludf.DUMMYFUNCTION("""COMPUTED_VALUE"""),FALSE)</f>
        <v>0</v>
      </c>
      <c r="G24" s="45" t="b">
        <f>IFERROR(__xludf.DUMMYFUNCTION("""COMPUTED_VALUE"""),FALSE)</f>
        <v>0</v>
      </c>
      <c r="H24" s="45" t="b">
        <f>IFERROR(__xludf.DUMMYFUNCTION("""COMPUTED_VALUE"""),FALSE)</f>
        <v>0</v>
      </c>
      <c r="I24" s="45" t="b">
        <f>IFERROR(__xludf.DUMMYFUNCTION("""COMPUTED_VALUE"""),TRUE)</f>
        <v>1</v>
      </c>
      <c r="J24" s="45" t="b">
        <f>IFERROR(__xludf.DUMMYFUNCTION("""COMPUTED_VALUE"""),TRUE)</f>
        <v>1</v>
      </c>
      <c r="K24" s="45" t="b">
        <f>IFERROR(__xludf.DUMMYFUNCTION("""COMPUTED_VALUE"""),TRUE)</f>
        <v>1</v>
      </c>
      <c r="L24" s="45" t="b">
        <f>IFERROR(__xludf.DUMMYFUNCTION("""COMPUTED_VALUE"""),TRUE)</f>
        <v>1</v>
      </c>
      <c r="M24" s="45" t="b">
        <f>IFERROR(__xludf.DUMMYFUNCTION("""COMPUTED_VALUE"""),FALSE)</f>
        <v>0</v>
      </c>
      <c r="N24" s="45" t="b">
        <f>IFERROR(__xludf.DUMMYFUNCTION("""COMPUTED_VALUE"""),FALSE)</f>
        <v>0</v>
      </c>
      <c r="O24" s="45" t="b">
        <f>IFERROR(__xludf.DUMMYFUNCTION("""COMPUTED_VALUE"""),FALSE)</f>
        <v>0</v>
      </c>
      <c r="P24" s="45" t="b">
        <f>IFERROR(__xludf.DUMMYFUNCTION("""COMPUTED_VALUE"""),FALSE)</f>
        <v>0</v>
      </c>
      <c r="Q24" s="45"/>
      <c r="R24" s="45" t="b">
        <f>IFERROR(__xludf.DUMMYFUNCTION("""COMPUTED_VALUE"""),TRUE)</f>
        <v>1</v>
      </c>
      <c r="S24" s="45" t="b">
        <f>IFERROR(__xludf.DUMMYFUNCTION("""COMPUTED_VALUE"""),TRUE)</f>
        <v>1</v>
      </c>
      <c r="T24" s="45" t="b">
        <f>IFERROR(__xludf.DUMMYFUNCTION("""COMPUTED_VALUE"""),FALSE)</f>
        <v>0</v>
      </c>
      <c r="U24" s="45" t="b">
        <f>IFERROR(__xludf.DUMMYFUNCTION("""COMPUTED_VALUE"""),FALSE)</f>
        <v>0</v>
      </c>
      <c r="V24" s="45" t="b">
        <f>IFERROR(__xludf.DUMMYFUNCTION("""COMPUTED_VALUE"""),FALSE)</f>
        <v>0</v>
      </c>
      <c r="W24" s="45" t="b">
        <f>IFERROR(__xludf.DUMMYFUNCTION("""COMPUTED_VALUE"""),FALSE)</f>
        <v>0</v>
      </c>
      <c r="X24" s="45" t="b">
        <f>IFERROR(__xludf.DUMMYFUNCTION("""COMPUTED_VALUE"""),FALSE)</f>
        <v>0</v>
      </c>
      <c r="Y24" s="45" t="b">
        <f>IFERROR(__xludf.DUMMYFUNCTION("""COMPUTED_VALUE"""),FALSE)</f>
        <v>0</v>
      </c>
      <c r="Z24" s="45" t="b">
        <f>IFERROR(__xludf.DUMMYFUNCTION("""COMPUTED_VALUE"""),FALSE)</f>
        <v>0</v>
      </c>
      <c r="AA24" s="45" t="b">
        <f>IFERROR(__xludf.DUMMYFUNCTION("""COMPUTED_VALUE"""),FALSE)</f>
        <v>0</v>
      </c>
      <c r="AB24" s="45" t="b">
        <f>IFERROR(__xludf.DUMMYFUNCTION("""COMPUTED_VALUE"""),TRUE)</f>
        <v>1</v>
      </c>
      <c r="AC24" s="45" t="b">
        <f>IFERROR(__xludf.DUMMYFUNCTION("""COMPUTED_VALUE"""),TRUE)</f>
        <v>1</v>
      </c>
    </row>
    <row r="25">
      <c r="A25" s="25" t="b">
        <v>0</v>
      </c>
      <c r="B25" s="45" t="str">
        <f>IFERROR(__xludf.DUMMYFUNCTION("""COMPUTED_VALUE"""),"Firefly squid")</f>
        <v>Firefly squid</v>
      </c>
      <c r="C25" s="48">
        <f>IFERROR(__xludf.DUMMYFUNCTION("""COMPUTED_VALUE"""),1400.0)</f>
        <v>1400</v>
      </c>
      <c r="D25" s="45" t="str">
        <f>IFERROR(__xludf.DUMMYFUNCTION("""COMPUTED_VALUE"""),"9 p.m. - 4 a.m.")</f>
        <v>9 p.m. - 4 a.m.</v>
      </c>
      <c r="E25" s="45" t="b">
        <f>IFERROR(__xludf.DUMMYFUNCTION("""COMPUTED_VALUE"""),FALSE)</f>
        <v>0</v>
      </c>
      <c r="F25" s="45" t="b">
        <f>IFERROR(__xludf.DUMMYFUNCTION("""COMPUTED_VALUE"""),FALSE)</f>
        <v>0</v>
      </c>
      <c r="G25" s="45" t="b">
        <f>IFERROR(__xludf.DUMMYFUNCTION("""COMPUTED_VALUE"""),TRUE)</f>
        <v>1</v>
      </c>
      <c r="H25" s="45" t="b">
        <f>IFERROR(__xludf.DUMMYFUNCTION("""COMPUTED_VALUE"""),TRUE)</f>
        <v>1</v>
      </c>
      <c r="I25" s="45" t="b">
        <f>IFERROR(__xludf.DUMMYFUNCTION("""COMPUTED_VALUE"""),TRUE)</f>
        <v>1</v>
      </c>
      <c r="J25" s="45" t="b">
        <f>IFERROR(__xludf.DUMMYFUNCTION("""COMPUTED_VALUE"""),TRUE)</f>
        <v>1</v>
      </c>
      <c r="K25" s="45" t="b">
        <f>IFERROR(__xludf.DUMMYFUNCTION("""COMPUTED_VALUE"""),FALSE)</f>
        <v>0</v>
      </c>
      <c r="L25" s="45" t="b">
        <f>IFERROR(__xludf.DUMMYFUNCTION("""COMPUTED_VALUE"""),FALSE)</f>
        <v>0</v>
      </c>
      <c r="M25" s="45" t="b">
        <f>IFERROR(__xludf.DUMMYFUNCTION("""COMPUTED_VALUE"""),FALSE)</f>
        <v>0</v>
      </c>
      <c r="N25" s="45" t="b">
        <f>IFERROR(__xludf.DUMMYFUNCTION("""COMPUTED_VALUE"""),FALSE)</f>
        <v>0</v>
      </c>
      <c r="O25" s="45" t="b">
        <f>IFERROR(__xludf.DUMMYFUNCTION("""COMPUTED_VALUE"""),FALSE)</f>
        <v>0</v>
      </c>
      <c r="P25" s="45" t="b">
        <f>IFERROR(__xludf.DUMMYFUNCTION("""COMPUTED_VALUE"""),FALSE)</f>
        <v>0</v>
      </c>
      <c r="Q25" s="45"/>
      <c r="R25" s="45" t="b">
        <f>IFERROR(__xludf.DUMMYFUNCTION("""COMPUTED_VALUE"""),FALSE)</f>
        <v>0</v>
      </c>
      <c r="S25" s="45" t="b">
        <f>IFERROR(__xludf.DUMMYFUNCTION("""COMPUTED_VALUE"""),FALSE)</f>
        <v>0</v>
      </c>
      <c r="T25" s="45" t="b">
        <f>IFERROR(__xludf.DUMMYFUNCTION("""COMPUTED_VALUE"""),FALSE)</f>
        <v>0</v>
      </c>
      <c r="U25" s="45" t="b">
        <f>IFERROR(__xludf.DUMMYFUNCTION("""COMPUTED_VALUE"""),FALSE)</f>
        <v>0</v>
      </c>
      <c r="V25" s="45" t="b">
        <f>IFERROR(__xludf.DUMMYFUNCTION("""COMPUTED_VALUE"""),FALSE)</f>
        <v>0</v>
      </c>
      <c r="W25" s="45" t="b">
        <f>IFERROR(__xludf.DUMMYFUNCTION("""COMPUTED_VALUE"""),FALSE)</f>
        <v>0</v>
      </c>
      <c r="X25" s="45" t="b">
        <f>IFERROR(__xludf.DUMMYFUNCTION("""COMPUTED_VALUE"""),FALSE)</f>
        <v>0</v>
      </c>
      <c r="Y25" s="45" t="b">
        <f>IFERROR(__xludf.DUMMYFUNCTION("""COMPUTED_VALUE"""),FALSE)</f>
        <v>0</v>
      </c>
      <c r="Z25" s="45" t="b">
        <f>IFERROR(__xludf.DUMMYFUNCTION("""COMPUTED_VALUE"""),TRUE)</f>
        <v>1</v>
      </c>
      <c r="AA25" s="45" t="b">
        <f>IFERROR(__xludf.DUMMYFUNCTION("""COMPUTED_VALUE"""),TRUE)</f>
        <v>1</v>
      </c>
      <c r="AB25" s="45" t="b">
        <f>IFERROR(__xludf.DUMMYFUNCTION("""COMPUTED_VALUE"""),TRUE)</f>
        <v>1</v>
      </c>
      <c r="AC25" s="45" t="b">
        <f>IFERROR(__xludf.DUMMYFUNCTION("""COMPUTED_VALUE"""),TRUE)</f>
        <v>1</v>
      </c>
    </row>
    <row r="26">
      <c r="A26" s="25" t="b">
        <v>0</v>
      </c>
      <c r="B26" s="45" t="str">
        <f>IFERROR(__xludf.DUMMYFUNCTION("""COMPUTED_VALUE"""),"Gazami crab")</f>
        <v>Gazami crab</v>
      </c>
      <c r="C26" s="48">
        <f>IFERROR(__xludf.DUMMYFUNCTION("""COMPUTED_VALUE"""),2200.0)</f>
        <v>2200</v>
      </c>
      <c r="D26" s="45" t="str">
        <f>IFERROR(__xludf.DUMMYFUNCTION("""COMPUTED_VALUE"""),"All day")</f>
        <v>All day</v>
      </c>
      <c r="E26" s="45" t="b">
        <f>IFERROR(__xludf.DUMMYFUNCTION("""COMPUTED_VALUE"""),FALSE)</f>
        <v>0</v>
      </c>
      <c r="F26" s="45" t="b">
        <f>IFERROR(__xludf.DUMMYFUNCTION("""COMPUTED_VALUE"""),FALSE)</f>
        <v>0</v>
      </c>
      <c r="G26" s="45" t="b">
        <f>IFERROR(__xludf.DUMMYFUNCTION("""COMPUTED_VALUE"""),FALSE)</f>
        <v>0</v>
      </c>
      <c r="H26" s="45" t="b">
        <f>IFERROR(__xludf.DUMMYFUNCTION("""COMPUTED_VALUE"""),FALSE)</f>
        <v>0</v>
      </c>
      <c r="I26" s="45" t="b">
        <f>IFERROR(__xludf.DUMMYFUNCTION("""COMPUTED_VALUE"""),FALSE)</f>
        <v>0</v>
      </c>
      <c r="J26" s="45" t="b">
        <f>IFERROR(__xludf.DUMMYFUNCTION("""COMPUTED_VALUE"""),TRUE)</f>
        <v>1</v>
      </c>
      <c r="K26" s="45" t="b">
        <f>IFERROR(__xludf.DUMMYFUNCTION("""COMPUTED_VALUE"""),TRUE)</f>
        <v>1</v>
      </c>
      <c r="L26" s="45" t="b">
        <f>IFERROR(__xludf.DUMMYFUNCTION("""COMPUTED_VALUE"""),TRUE)</f>
        <v>1</v>
      </c>
      <c r="M26" s="45" t="b">
        <f>IFERROR(__xludf.DUMMYFUNCTION("""COMPUTED_VALUE"""),TRUE)</f>
        <v>1</v>
      </c>
      <c r="N26" s="45" t="b">
        <f>IFERROR(__xludf.DUMMYFUNCTION("""COMPUTED_VALUE"""),TRUE)</f>
        <v>1</v>
      </c>
      <c r="O26" s="45" t="b">
        <f>IFERROR(__xludf.DUMMYFUNCTION("""COMPUTED_VALUE"""),TRUE)</f>
        <v>1</v>
      </c>
      <c r="P26" s="45" t="b">
        <f>IFERROR(__xludf.DUMMYFUNCTION("""COMPUTED_VALUE"""),FALSE)</f>
        <v>0</v>
      </c>
      <c r="Q26" s="45"/>
      <c r="R26" s="45" t="b">
        <f>IFERROR(__xludf.DUMMYFUNCTION("""COMPUTED_VALUE"""),TRUE)</f>
        <v>1</v>
      </c>
      <c r="S26" s="45" t="b">
        <f>IFERROR(__xludf.DUMMYFUNCTION("""COMPUTED_VALUE"""),TRUE)</f>
        <v>1</v>
      </c>
      <c r="T26" s="45" t="b">
        <f>IFERROR(__xludf.DUMMYFUNCTION("""COMPUTED_VALUE"""),TRUE)</f>
        <v>1</v>
      </c>
      <c r="U26" s="45" t="b">
        <f>IFERROR(__xludf.DUMMYFUNCTION("""COMPUTED_VALUE"""),TRUE)</f>
        <v>1</v>
      </c>
      <c r="V26" s="45" t="b">
        <f>IFERROR(__xludf.DUMMYFUNCTION("""COMPUTED_VALUE"""),TRUE)</f>
        <v>1</v>
      </c>
      <c r="W26" s="45" t="b">
        <f>IFERROR(__xludf.DUMMYFUNCTION("""COMPUTED_VALUE"""),FALSE)</f>
        <v>0</v>
      </c>
      <c r="X26" s="45" t="b">
        <f>IFERROR(__xludf.DUMMYFUNCTION("""COMPUTED_VALUE"""),FALSE)</f>
        <v>0</v>
      </c>
      <c r="Y26" s="45" t="b">
        <f>IFERROR(__xludf.DUMMYFUNCTION("""COMPUTED_VALUE"""),FALSE)</f>
        <v>0</v>
      </c>
      <c r="Z26" s="45" t="b">
        <f>IFERROR(__xludf.DUMMYFUNCTION("""COMPUTED_VALUE"""),FALSE)</f>
        <v>0</v>
      </c>
      <c r="AA26" s="45" t="b">
        <f>IFERROR(__xludf.DUMMYFUNCTION("""COMPUTED_VALUE"""),FALSE)</f>
        <v>0</v>
      </c>
      <c r="AB26" s="45" t="b">
        <f>IFERROR(__xludf.DUMMYFUNCTION("""COMPUTED_VALUE"""),FALSE)</f>
        <v>0</v>
      </c>
      <c r="AC26" s="45" t="b">
        <f>IFERROR(__xludf.DUMMYFUNCTION("""COMPUTED_VALUE"""),TRUE)</f>
        <v>1</v>
      </c>
    </row>
    <row r="27">
      <c r="A27" s="25" t="b">
        <v>0</v>
      </c>
      <c r="B27" s="45" t="str">
        <f>IFERROR(__xludf.DUMMYFUNCTION("""COMPUTED_VALUE"""),"Dungeness crab")</f>
        <v>Dungeness crab</v>
      </c>
      <c r="C27" s="48">
        <f>IFERROR(__xludf.DUMMYFUNCTION("""COMPUTED_VALUE"""),1900.0)</f>
        <v>1900</v>
      </c>
      <c r="D27" s="45" t="str">
        <f>IFERROR(__xludf.DUMMYFUNCTION("""COMPUTED_VALUE"""),"All day")</f>
        <v>All day</v>
      </c>
      <c r="E27" s="45" t="b">
        <f>IFERROR(__xludf.DUMMYFUNCTION("""COMPUTED_VALUE"""),TRUE)</f>
        <v>1</v>
      </c>
      <c r="F27" s="45" t="b">
        <f>IFERROR(__xludf.DUMMYFUNCTION("""COMPUTED_VALUE"""),TRUE)</f>
        <v>1</v>
      </c>
      <c r="G27" s="45" t="b">
        <f>IFERROR(__xludf.DUMMYFUNCTION("""COMPUTED_VALUE"""),TRUE)</f>
        <v>1</v>
      </c>
      <c r="H27" s="45" t="b">
        <f>IFERROR(__xludf.DUMMYFUNCTION("""COMPUTED_VALUE"""),TRUE)</f>
        <v>1</v>
      </c>
      <c r="I27" s="45" t="b">
        <f>IFERROR(__xludf.DUMMYFUNCTION("""COMPUTED_VALUE"""),TRUE)</f>
        <v>1</v>
      </c>
      <c r="J27" s="45" t="b">
        <f>IFERROR(__xludf.DUMMYFUNCTION("""COMPUTED_VALUE"""),FALSE)</f>
        <v>0</v>
      </c>
      <c r="K27" s="45" t="b">
        <f>IFERROR(__xludf.DUMMYFUNCTION("""COMPUTED_VALUE"""),FALSE)</f>
        <v>0</v>
      </c>
      <c r="L27" s="45" t="b">
        <f>IFERROR(__xludf.DUMMYFUNCTION("""COMPUTED_VALUE"""),FALSE)</f>
        <v>0</v>
      </c>
      <c r="M27" s="45" t="b">
        <f>IFERROR(__xludf.DUMMYFUNCTION("""COMPUTED_VALUE"""),FALSE)</f>
        <v>0</v>
      </c>
      <c r="N27" s="45" t="b">
        <f>IFERROR(__xludf.DUMMYFUNCTION("""COMPUTED_VALUE"""),FALSE)</f>
        <v>0</v>
      </c>
      <c r="O27" s="45" t="b">
        <f>IFERROR(__xludf.DUMMYFUNCTION("""COMPUTED_VALUE"""),TRUE)</f>
        <v>1</v>
      </c>
      <c r="P27" s="45" t="b">
        <f>IFERROR(__xludf.DUMMYFUNCTION("""COMPUTED_VALUE"""),TRUE)</f>
        <v>1</v>
      </c>
      <c r="Q27" s="45"/>
      <c r="R27" s="45" t="b">
        <f>IFERROR(__xludf.DUMMYFUNCTION("""COMPUTED_VALUE"""),FALSE)</f>
        <v>0</v>
      </c>
      <c r="S27" s="45" t="b">
        <f>IFERROR(__xludf.DUMMYFUNCTION("""COMPUTED_VALUE"""),FALSE)</f>
        <v>0</v>
      </c>
      <c r="T27" s="45" t="b">
        <f>IFERROR(__xludf.DUMMYFUNCTION("""COMPUTED_VALUE"""),FALSE)</f>
        <v>0</v>
      </c>
      <c r="U27" s="45" t="b">
        <f>IFERROR(__xludf.DUMMYFUNCTION("""COMPUTED_VALUE"""),FALSE)</f>
        <v>0</v>
      </c>
      <c r="V27" s="45" t="b">
        <f>IFERROR(__xludf.DUMMYFUNCTION("""COMPUTED_VALUE"""),TRUE)</f>
        <v>1</v>
      </c>
      <c r="W27" s="45" t="b">
        <f>IFERROR(__xludf.DUMMYFUNCTION("""COMPUTED_VALUE"""),TRUE)</f>
        <v>1</v>
      </c>
      <c r="X27" s="45" t="b">
        <f>IFERROR(__xludf.DUMMYFUNCTION("""COMPUTED_VALUE"""),TRUE)</f>
        <v>1</v>
      </c>
      <c r="Y27" s="45" t="b">
        <f>IFERROR(__xludf.DUMMYFUNCTION("""COMPUTED_VALUE"""),TRUE)</f>
        <v>1</v>
      </c>
      <c r="Z27" s="45" t="b">
        <f>IFERROR(__xludf.DUMMYFUNCTION("""COMPUTED_VALUE"""),TRUE)</f>
        <v>1</v>
      </c>
      <c r="AA27" s="45" t="b">
        <f>IFERROR(__xludf.DUMMYFUNCTION("""COMPUTED_VALUE"""),TRUE)</f>
        <v>1</v>
      </c>
      <c r="AB27" s="45" t="b">
        <f>IFERROR(__xludf.DUMMYFUNCTION("""COMPUTED_VALUE"""),TRUE)</f>
        <v>1</v>
      </c>
      <c r="AC27" s="45" t="b">
        <f>IFERROR(__xludf.DUMMYFUNCTION("""COMPUTED_VALUE"""),FALSE)</f>
        <v>0</v>
      </c>
    </row>
    <row r="28">
      <c r="A28" s="25" t="b">
        <v>0</v>
      </c>
      <c r="B28" s="45" t="str">
        <f>IFERROR(__xludf.DUMMYFUNCTION("""COMPUTED_VALUE"""),"Snow crab")</f>
        <v>Snow crab</v>
      </c>
      <c r="C28" s="48">
        <f>IFERROR(__xludf.DUMMYFUNCTION("""COMPUTED_VALUE"""),6000.0)</f>
        <v>6000</v>
      </c>
      <c r="D28" s="45" t="str">
        <f>IFERROR(__xludf.DUMMYFUNCTION("""COMPUTED_VALUE"""),"All day")</f>
        <v>All day</v>
      </c>
      <c r="E28" s="45" t="b">
        <f>IFERROR(__xludf.DUMMYFUNCTION("""COMPUTED_VALUE"""),TRUE)</f>
        <v>1</v>
      </c>
      <c r="F28" s="45" t="b">
        <f>IFERROR(__xludf.DUMMYFUNCTION("""COMPUTED_VALUE"""),TRUE)</f>
        <v>1</v>
      </c>
      <c r="G28" s="45" t="b">
        <f>IFERROR(__xludf.DUMMYFUNCTION("""COMPUTED_VALUE"""),TRUE)</f>
        <v>1</v>
      </c>
      <c r="H28" s="45" t="b">
        <f>IFERROR(__xludf.DUMMYFUNCTION("""COMPUTED_VALUE"""),TRUE)</f>
        <v>1</v>
      </c>
      <c r="I28" s="45" t="b">
        <f>IFERROR(__xludf.DUMMYFUNCTION("""COMPUTED_VALUE"""),FALSE)</f>
        <v>0</v>
      </c>
      <c r="J28" s="45" t="b">
        <f>IFERROR(__xludf.DUMMYFUNCTION("""COMPUTED_VALUE"""),FALSE)</f>
        <v>0</v>
      </c>
      <c r="K28" s="45" t="b">
        <f>IFERROR(__xludf.DUMMYFUNCTION("""COMPUTED_VALUE"""),FALSE)</f>
        <v>0</v>
      </c>
      <c r="L28" s="45" t="b">
        <f>IFERROR(__xludf.DUMMYFUNCTION("""COMPUTED_VALUE"""),FALSE)</f>
        <v>0</v>
      </c>
      <c r="M28" s="45" t="b">
        <f>IFERROR(__xludf.DUMMYFUNCTION("""COMPUTED_VALUE"""),FALSE)</f>
        <v>0</v>
      </c>
      <c r="N28" s="45" t="b">
        <f>IFERROR(__xludf.DUMMYFUNCTION("""COMPUTED_VALUE"""),FALSE)</f>
        <v>0</v>
      </c>
      <c r="O28" s="45" t="b">
        <f>IFERROR(__xludf.DUMMYFUNCTION("""COMPUTED_VALUE"""),TRUE)</f>
        <v>1</v>
      </c>
      <c r="P28" s="45" t="b">
        <f>IFERROR(__xludf.DUMMYFUNCTION("""COMPUTED_VALUE"""),TRUE)</f>
        <v>1</v>
      </c>
      <c r="Q28" s="45"/>
      <c r="R28" s="45" t="b">
        <f>IFERROR(__xludf.DUMMYFUNCTION("""COMPUTED_VALUE"""),FALSE)</f>
        <v>0</v>
      </c>
      <c r="S28" s="45" t="b">
        <f>IFERROR(__xludf.DUMMYFUNCTION("""COMPUTED_VALUE"""),FALSE)</f>
        <v>0</v>
      </c>
      <c r="T28" s="45" t="b">
        <f>IFERROR(__xludf.DUMMYFUNCTION("""COMPUTED_VALUE"""),FALSE)</f>
        <v>0</v>
      </c>
      <c r="U28" s="45" t="b">
        <f>IFERROR(__xludf.DUMMYFUNCTION("""COMPUTED_VALUE"""),FALSE)</f>
        <v>0</v>
      </c>
      <c r="V28" s="45" t="b">
        <f>IFERROR(__xludf.DUMMYFUNCTION("""COMPUTED_VALUE"""),TRUE)</f>
        <v>1</v>
      </c>
      <c r="W28" s="45" t="b">
        <f>IFERROR(__xludf.DUMMYFUNCTION("""COMPUTED_VALUE"""),TRUE)</f>
        <v>1</v>
      </c>
      <c r="X28" s="45" t="b">
        <f>IFERROR(__xludf.DUMMYFUNCTION("""COMPUTED_VALUE"""),TRUE)</f>
        <v>1</v>
      </c>
      <c r="Y28" s="45" t="b">
        <f>IFERROR(__xludf.DUMMYFUNCTION("""COMPUTED_VALUE"""),TRUE)</f>
        <v>1</v>
      </c>
      <c r="Z28" s="45" t="b">
        <f>IFERROR(__xludf.DUMMYFUNCTION("""COMPUTED_VALUE"""),TRUE)</f>
        <v>1</v>
      </c>
      <c r="AA28" s="45" t="b">
        <f>IFERROR(__xludf.DUMMYFUNCTION("""COMPUTED_VALUE"""),TRUE)</f>
        <v>1</v>
      </c>
      <c r="AB28" s="45" t="b">
        <f>IFERROR(__xludf.DUMMYFUNCTION("""COMPUTED_VALUE"""),FALSE)</f>
        <v>0</v>
      </c>
      <c r="AC28" s="45" t="b">
        <f>IFERROR(__xludf.DUMMYFUNCTION("""COMPUTED_VALUE"""),FALSE)</f>
        <v>0</v>
      </c>
    </row>
    <row r="29">
      <c r="A29" s="25" t="b">
        <v>0</v>
      </c>
      <c r="B29" s="45" t="str">
        <f>IFERROR(__xludf.DUMMYFUNCTION("""COMPUTED_VALUE"""),"Red king crab")</f>
        <v>Red king crab</v>
      </c>
      <c r="C29" s="48">
        <f>IFERROR(__xludf.DUMMYFUNCTION("""COMPUTED_VALUE"""),8000.0)</f>
        <v>8000</v>
      </c>
      <c r="D29" s="45" t="str">
        <f>IFERROR(__xludf.DUMMYFUNCTION("""COMPUTED_VALUE"""),"All day")</f>
        <v>All day</v>
      </c>
      <c r="E29" s="45" t="b">
        <f>IFERROR(__xludf.DUMMYFUNCTION("""COMPUTED_VALUE"""),TRUE)</f>
        <v>1</v>
      </c>
      <c r="F29" s="45" t="b">
        <f>IFERROR(__xludf.DUMMYFUNCTION("""COMPUTED_VALUE"""),TRUE)</f>
        <v>1</v>
      </c>
      <c r="G29" s="45" t="b">
        <f>IFERROR(__xludf.DUMMYFUNCTION("""COMPUTED_VALUE"""),TRUE)</f>
        <v>1</v>
      </c>
      <c r="H29" s="45" t="b">
        <f>IFERROR(__xludf.DUMMYFUNCTION("""COMPUTED_VALUE"""),FALSE)</f>
        <v>0</v>
      </c>
      <c r="I29" s="45" t="b">
        <f>IFERROR(__xludf.DUMMYFUNCTION("""COMPUTED_VALUE"""),FALSE)</f>
        <v>0</v>
      </c>
      <c r="J29" s="45" t="b">
        <f>IFERROR(__xludf.DUMMYFUNCTION("""COMPUTED_VALUE"""),FALSE)</f>
        <v>0</v>
      </c>
      <c r="K29" s="45" t="b">
        <f>IFERROR(__xludf.DUMMYFUNCTION("""COMPUTED_VALUE"""),FALSE)</f>
        <v>0</v>
      </c>
      <c r="L29" s="45" t="b">
        <f>IFERROR(__xludf.DUMMYFUNCTION("""COMPUTED_VALUE"""),FALSE)</f>
        <v>0</v>
      </c>
      <c r="M29" s="45" t="b">
        <f>IFERROR(__xludf.DUMMYFUNCTION("""COMPUTED_VALUE"""),FALSE)</f>
        <v>0</v>
      </c>
      <c r="N29" s="45" t="b">
        <f>IFERROR(__xludf.DUMMYFUNCTION("""COMPUTED_VALUE"""),FALSE)</f>
        <v>0</v>
      </c>
      <c r="O29" s="45" t="b">
        <f>IFERROR(__xludf.DUMMYFUNCTION("""COMPUTED_VALUE"""),TRUE)</f>
        <v>1</v>
      </c>
      <c r="P29" s="45" t="b">
        <f>IFERROR(__xludf.DUMMYFUNCTION("""COMPUTED_VALUE"""),TRUE)</f>
        <v>1</v>
      </c>
      <c r="Q29" s="45"/>
      <c r="R29" s="45" t="b">
        <f>IFERROR(__xludf.DUMMYFUNCTION("""COMPUTED_VALUE"""),FALSE)</f>
        <v>0</v>
      </c>
      <c r="S29" s="45" t="b">
        <f>IFERROR(__xludf.DUMMYFUNCTION("""COMPUTED_VALUE"""),FALSE)</f>
        <v>0</v>
      </c>
      <c r="T29" s="45" t="b">
        <f>IFERROR(__xludf.DUMMYFUNCTION("""COMPUTED_VALUE"""),FALSE)</f>
        <v>0</v>
      </c>
      <c r="U29" s="45" t="b">
        <f>IFERROR(__xludf.DUMMYFUNCTION("""COMPUTED_VALUE"""),FALSE)</f>
        <v>0</v>
      </c>
      <c r="V29" s="45" t="b">
        <f>IFERROR(__xludf.DUMMYFUNCTION("""COMPUTED_VALUE"""),TRUE)</f>
        <v>1</v>
      </c>
      <c r="W29" s="45" t="b">
        <f>IFERROR(__xludf.DUMMYFUNCTION("""COMPUTED_VALUE"""),TRUE)</f>
        <v>1</v>
      </c>
      <c r="X29" s="45" t="b">
        <f>IFERROR(__xludf.DUMMYFUNCTION("""COMPUTED_VALUE"""),TRUE)</f>
        <v>1</v>
      </c>
      <c r="Y29" s="45" t="b">
        <f>IFERROR(__xludf.DUMMYFUNCTION("""COMPUTED_VALUE"""),TRUE)</f>
        <v>1</v>
      </c>
      <c r="Z29" s="45" t="b">
        <f>IFERROR(__xludf.DUMMYFUNCTION("""COMPUTED_VALUE"""),TRUE)</f>
        <v>1</v>
      </c>
      <c r="AA29" s="45" t="b">
        <f>IFERROR(__xludf.DUMMYFUNCTION("""COMPUTED_VALUE"""),FALSE)</f>
        <v>0</v>
      </c>
      <c r="AB29" s="45" t="b">
        <f>IFERROR(__xludf.DUMMYFUNCTION("""COMPUTED_VALUE"""),FALSE)</f>
        <v>0</v>
      </c>
      <c r="AC29" s="45" t="b">
        <f>IFERROR(__xludf.DUMMYFUNCTION("""COMPUTED_VALUE"""),FALSE)</f>
        <v>0</v>
      </c>
    </row>
    <row r="30">
      <c r="A30" s="25" t="b">
        <v>0</v>
      </c>
      <c r="B30" s="45" t="str">
        <f>IFERROR(__xludf.DUMMYFUNCTION("""COMPUTED_VALUE"""),"Acorn barnacle")</f>
        <v>Acorn barnacle</v>
      </c>
      <c r="C30" s="45">
        <f>IFERROR(__xludf.DUMMYFUNCTION("""COMPUTED_VALUE"""),600.0)</f>
        <v>600</v>
      </c>
      <c r="D30" s="45" t="str">
        <f>IFERROR(__xludf.DUMMYFUNCTION("""COMPUTED_VALUE"""),"All day")</f>
        <v>All day</v>
      </c>
      <c r="E30" s="45" t="b">
        <f>IFERROR(__xludf.DUMMYFUNCTION("""COMPUTED_VALUE"""),TRUE)</f>
        <v>1</v>
      </c>
      <c r="F30" s="45" t="b">
        <f>IFERROR(__xludf.DUMMYFUNCTION("""COMPUTED_VALUE"""),TRUE)</f>
        <v>1</v>
      </c>
      <c r="G30" s="45" t="b">
        <f>IFERROR(__xludf.DUMMYFUNCTION("""COMPUTED_VALUE"""),TRUE)</f>
        <v>1</v>
      </c>
      <c r="H30" s="45" t="b">
        <f>IFERROR(__xludf.DUMMYFUNCTION("""COMPUTED_VALUE"""),TRUE)</f>
        <v>1</v>
      </c>
      <c r="I30" s="45" t="b">
        <f>IFERROR(__xludf.DUMMYFUNCTION("""COMPUTED_VALUE"""),TRUE)</f>
        <v>1</v>
      </c>
      <c r="J30" s="45" t="b">
        <f>IFERROR(__xludf.DUMMYFUNCTION("""COMPUTED_VALUE"""),TRUE)</f>
        <v>1</v>
      </c>
      <c r="K30" s="45" t="b">
        <f>IFERROR(__xludf.DUMMYFUNCTION("""COMPUTED_VALUE"""),TRUE)</f>
        <v>1</v>
      </c>
      <c r="L30" s="45" t="b">
        <f>IFERROR(__xludf.DUMMYFUNCTION("""COMPUTED_VALUE"""),TRUE)</f>
        <v>1</v>
      </c>
      <c r="M30" s="45" t="b">
        <f>IFERROR(__xludf.DUMMYFUNCTION("""COMPUTED_VALUE"""),TRUE)</f>
        <v>1</v>
      </c>
      <c r="N30" s="45" t="b">
        <f>IFERROR(__xludf.DUMMYFUNCTION("""COMPUTED_VALUE"""),TRUE)</f>
        <v>1</v>
      </c>
      <c r="O30" s="45" t="b">
        <f>IFERROR(__xludf.DUMMYFUNCTION("""COMPUTED_VALUE"""),TRUE)</f>
        <v>1</v>
      </c>
      <c r="P30" s="45" t="b">
        <f>IFERROR(__xludf.DUMMYFUNCTION("""COMPUTED_VALUE"""),TRUE)</f>
        <v>1</v>
      </c>
      <c r="Q30" s="45"/>
      <c r="R30" s="45" t="b">
        <f>IFERROR(__xludf.DUMMYFUNCTION("""COMPUTED_VALUE"""),TRUE)</f>
        <v>1</v>
      </c>
      <c r="S30" s="45" t="b">
        <f>IFERROR(__xludf.DUMMYFUNCTION("""COMPUTED_VALUE"""),TRUE)</f>
        <v>1</v>
      </c>
      <c r="T30" s="45" t="b">
        <f>IFERROR(__xludf.DUMMYFUNCTION("""COMPUTED_VALUE"""),TRUE)</f>
        <v>1</v>
      </c>
      <c r="U30" s="45" t="b">
        <f>IFERROR(__xludf.DUMMYFUNCTION("""COMPUTED_VALUE"""),TRUE)</f>
        <v>1</v>
      </c>
      <c r="V30" s="45" t="b">
        <f>IFERROR(__xludf.DUMMYFUNCTION("""COMPUTED_VALUE"""),TRUE)</f>
        <v>1</v>
      </c>
      <c r="W30" s="45" t="b">
        <f>IFERROR(__xludf.DUMMYFUNCTION("""COMPUTED_VALUE"""),TRUE)</f>
        <v>1</v>
      </c>
      <c r="X30" s="45" t="b">
        <f>IFERROR(__xludf.DUMMYFUNCTION("""COMPUTED_VALUE"""),TRUE)</f>
        <v>1</v>
      </c>
      <c r="Y30" s="45" t="b">
        <f>IFERROR(__xludf.DUMMYFUNCTION("""COMPUTED_VALUE"""),TRUE)</f>
        <v>1</v>
      </c>
      <c r="Z30" s="45" t="b">
        <f>IFERROR(__xludf.DUMMYFUNCTION("""COMPUTED_VALUE"""),TRUE)</f>
        <v>1</v>
      </c>
      <c r="AA30" s="45" t="b">
        <f>IFERROR(__xludf.DUMMYFUNCTION("""COMPUTED_VALUE"""),TRUE)</f>
        <v>1</v>
      </c>
      <c r="AB30" s="45" t="b">
        <f>IFERROR(__xludf.DUMMYFUNCTION("""COMPUTED_VALUE"""),TRUE)</f>
        <v>1</v>
      </c>
      <c r="AC30" s="45" t="b">
        <f>IFERROR(__xludf.DUMMYFUNCTION("""COMPUTED_VALUE"""),TRUE)</f>
        <v>1</v>
      </c>
    </row>
    <row r="31">
      <c r="A31" s="25" t="b">
        <v>0</v>
      </c>
      <c r="B31" s="45" t="str">
        <f>IFERROR(__xludf.DUMMYFUNCTION("""COMPUTED_VALUE"""),"Spider crab")</f>
        <v>Spider crab</v>
      </c>
      <c r="C31" s="48">
        <f>IFERROR(__xludf.DUMMYFUNCTION("""COMPUTED_VALUE"""),12000.0)</f>
        <v>12000</v>
      </c>
      <c r="D31" s="45" t="str">
        <f>IFERROR(__xludf.DUMMYFUNCTION("""COMPUTED_VALUE"""),"All day")</f>
        <v>All day</v>
      </c>
      <c r="E31" s="45" t="b">
        <f>IFERROR(__xludf.DUMMYFUNCTION("""COMPUTED_VALUE"""),FALSE)</f>
        <v>0</v>
      </c>
      <c r="F31" s="45" t="b">
        <f>IFERROR(__xludf.DUMMYFUNCTION("""COMPUTED_VALUE"""),FALSE)</f>
        <v>0</v>
      </c>
      <c r="G31" s="45" t="b">
        <f>IFERROR(__xludf.DUMMYFUNCTION("""COMPUTED_VALUE"""),TRUE)</f>
        <v>1</v>
      </c>
      <c r="H31" s="45" t="b">
        <f>IFERROR(__xludf.DUMMYFUNCTION("""COMPUTED_VALUE"""),TRUE)</f>
        <v>1</v>
      </c>
      <c r="I31" s="45" t="b">
        <f>IFERROR(__xludf.DUMMYFUNCTION("""COMPUTED_VALUE"""),FALSE)</f>
        <v>0</v>
      </c>
      <c r="J31" s="45" t="b">
        <f>IFERROR(__xludf.DUMMYFUNCTION("""COMPUTED_VALUE"""),FALSE)</f>
        <v>0</v>
      </c>
      <c r="K31" s="45" t="b">
        <f>IFERROR(__xludf.DUMMYFUNCTION("""COMPUTED_VALUE"""),FALSE)</f>
        <v>0</v>
      </c>
      <c r="L31" s="45" t="b">
        <f>IFERROR(__xludf.DUMMYFUNCTION("""COMPUTED_VALUE"""),FALSE)</f>
        <v>0</v>
      </c>
      <c r="M31" s="45" t="b">
        <f>IFERROR(__xludf.DUMMYFUNCTION("""COMPUTED_VALUE"""),FALSE)</f>
        <v>0</v>
      </c>
      <c r="N31" s="45" t="b">
        <f>IFERROR(__xludf.DUMMYFUNCTION("""COMPUTED_VALUE"""),FALSE)</f>
        <v>0</v>
      </c>
      <c r="O31" s="45" t="b">
        <f>IFERROR(__xludf.DUMMYFUNCTION("""COMPUTED_VALUE"""),FALSE)</f>
        <v>0</v>
      </c>
      <c r="P31" s="45" t="b">
        <f>IFERROR(__xludf.DUMMYFUNCTION("""COMPUTED_VALUE"""),FALSE)</f>
        <v>0</v>
      </c>
      <c r="Q31" s="45"/>
      <c r="R31" s="45" t="b">
        <f>IFERROR(__xludf.DUMMYFUNCTION("""COMPUTED_VALUE"""),FALSE)</f>
        <v>0</v>
      </c>
      <c r="S31" s="45" t="b">
        <f>IFERROR(__xludf.DUMMYFUNCTION("""COMPUTED_VALUE"""),FALSE)</f>
        <v>0</v>
      </c>
      <c r="T31" s="45" t="b">
        <f>IFERROR(__xludf.DUMMYFUNCTION("""COMPUTED_VALUE"""),FALSE)</f>
        <v>0</v>
      </c>
      <c r="U31" s="45" t="b">
        <f>IFERROR(__xludf.DUMMYFUNCTION("""COMPUTED_VALUE"""),FALSE)</f>
        <v>0</v>
      </c>
      <c r="V31" s="45" t="b">
        <f>IFERROR(__xludf.DUMMYFUNCTION("""COMPUTED_VALUE"""),FALSE)</f>
        <v>0</v>
      </c>
      <c r="W31" s="45" t="b">
        <f>IFERROR(__xludf.DUMMYFUNCTION("""COMPUTED_VALUE"""),FALSE)</f>
        <v>0</v>
      </c>
      <c r="X31" s="45" t="b">
        <f>IFERROR(__xludf.DUMMYFUNCTION("""COMPUTED_VALUE"""),FALSE)</f>
        <v>0</v>
      </c>
      <c r="Y31" s="45" t="b">
        <f>IFERROR(__xludf.DUMMYFUNCTION("""COMPUTED_VALUE"""),FALSE)</f>
        <v>0</v>
      </c>
      <c r="Z31" s="45" t="b">
        <f>IFERROR(__xludf.DUMMYFUNCTION("""COMPUTED_VALUE"""),TRUE)</f>
        <v>1</v>
      </c>
      <c r="AA31" s="45" t="b">
        <f>IFERROR(__xludf.DUMMYFUNCTION("""COMPUTED_VALUE"""),TRUE)</f>
        <v>1</v>
      </c>
      <c r="AB31" s="45" t="b">
        <f>IFERROR(__xludf.DUMMYFUNCTION("""COMPUTED_VALUE"""),FALSE)</f>
        <v>0</v>
      </c>
      <c r="AC31" s="45" t="b">
        <f>IFERROR(__xludf.DUMMYFUNCTION("""COMPUTED_VALUE"""),FALSE)</f>
        <v>0</v>
      </c>
    </row>
    <row r="32">
      <c r="A32" s="25" t="b">
        <v>0</v>
      </c>
      <c r="B32" s="45" t="str">
        <f>IFERROR(__xludf.DUMMYFUNCTION("""COMPUTED_VALUE"""),"Tiger prawn")</f>
        <v>Tiger prawn</v>
      </c>
      <c r="C32" s="48">
        <f>IFERROR(__xludf.DUMMYFUNCTION("""COMPUTED_VALUE"""),3000.0)</f>
        <v>3000</v>
      </c>
      <c r="D32" s="45" t="str">
        <f>IFERROR(__xludf.DUMMYFUNCTION("""COMPUTED_VALUE"""),"4 p.m. - 9 a.m.")</f>
        <v>4 p.m. - 9 a.m.</v>
      </c>
      <c r="E32" s="45" t="b">
        <f>IFERROR(__xludf.DUMMYFUNCTION("""COMPUTED_VALUE"""),FALSE)</f>
        <v>0</v>
      </c>
      <c r="F32" s="45" t="b">
        <f>IFERROR(__xludf.DUMMYFUNCTION("""COMPUTED_VALUE"""),FALSE)</f>
        <v>0</v>
      </c>
      <c r="G32" s="45" t="b">
        <f>IFERROR(__xludf.DUMMYFUNCTION("""COMPUTED_VALUE"""),FALSE)</f>
        <v>0</v>
      </c>
      <c r="H32" s="45" t="b">
        <f>IFERROR(__xludf.DUMMYFUNCTION("""COMPUTED_VALUE"""),FALSE)</f>
        <v>0</v>
      </c>
      <c r="I32" s="45" t="b">
        <f>IFERROR(__xludf.DUMMYFUNCTION("""COMPUTED_VALUE"""),FALSE)</f>
        <v>0</v>
      </c>
      <c r="J32" s="45" t="b">
        <f>IFERROR(__xludf.DUMMYFUNCTION("""COMPUTED_VALUE"""),TRUE)</f>
        <v>1</v>
      </c>
      <c r="K32" s="45" t="b">
        <f>IFERROR(__xludf.DUMMYFUNCTION("""COMPUTED_VALUE"""),TRUE)</f>
        <v>1</v>
      </c>
      <c r="L32" s="45" t="b">
        <f>IFERROR(__xludf.DUMMYFUNCTION("""COMPUTED_VALUE"""),TRUE)</f>
        <v>1</v>
      </c>
      <c r="M32" s="45" t="b">
        <f>IFERROR(__xludf.DUMMYFUNCTION("""COMPUTED_VALUE"""),TRUE)</f>
        <v>1</v>
      </c>
      <c r="N32" s="45" t="b">
        <f>IFERROR(__xludf.DUMMYFUNCTION("""COMPUTED_VALUE"""),FALSE)</f>
        <v>0</v>
      </c>
      <c r="O32" s="45" t="b">
        <f>IFERROR(__xludf.DUMMYFUNCTION("""COMPUTED_VALUE"""),FALSE)</f>
        <v>0</v>
      </c>
      <c r="P32" s="45" t="b">
        <f>IFERROR(__xludf.DUMMYFUNCTION("""COMPUTED_VALUE"""),FALSE)</f>
        <v>0</v>
      </c>
      <c r="Q32" s="45"/>
      <c r="R32" s="45" t="b">
        <f>IFERROR(__xludf.DUMMYFUNCTION("""COMPUTED_VALUE"""),TRUE)</f>
        <v>1</v>
      </c>
      <c r="S32" s="45" t="b">
        <f>IFERROR(__xludf.DUMMYFUNCTION("""COMPUTED_VALUE"""),TRUE)</f>
        <v>1</v>
      </c>
      <c r="T32" s="45" t="b">
        <f>IFERROR(__xludf.DUMMYFUNCTION("""COMPUTED_VALUE"""),TRUE)</f>
        <v>1</v>
      </c>
      <c r="U32" s="45" t="b">
        <f>IFERROR(__xludf.DUMMYFUNCTION("""COMPUTED_VALUE"""),FALSE)</f>
        <v>0</v>
      </c>
      <c r="V32" s="45" t="b">
        <f>IFERROR(__xludf.DUMMYFUNCTION("""COMPUTED_VALUE"""),FALSE)</f>
        <v>0</v>
      </c>
      <c r="W32" s="45" t="b">
        <f>IFERROR(__xludf.DUMMYFUNCTION("""COMPUTED_VALUE"""),FALSE)</f>
        <v>0</v>
      </c>
      <c r="X32" s="45" t="b">
        <f>IFERROR(__xludf.DUMMYFUNCTION("""COMPUTED_VALUE"""),FALSE)</f>
        <v>0</v>
      </c>
      <c r="Y32" s="45" t="b">
        <f>IFERROR(__xludf.DUMMYFUNCTION("""COMPUTED_VALUE"""),FALSE)</f>
        <v>0</v>
      </c>
      <c r="Z32" s="45" t="b">
        <f>IFERROR(__xludf.DUMMYFUNCTION("""COMPUTED_VALUE"""),FALSE)</f>
        <v>0</v>
      </c>
      <c r="AA32" s="45" t="b">
        <f>IFERROR(__xludf.DUMMYFUNCTION("""COMPUTED_VALUE"""),FALSE)</f>
        <v>0</v>
      </c>
      <c r="AB32" s="45" t="b">
        <f>IFERROR(__xludf.DUMMYFUNCTION("""COMPUTED_VALUE"""),FALSE)</f>
        <v>0</v>
      </c>
      <c r="AC32" s="45" t="b">
        <f>IFERROR(__xludf.DUMMYFUNCTION("""COMPUTED_VALUE"""),TRUE)</f>
        <v>1</v>
      </c>
    </row>
    <row r="33">
      <c r="A33" s="25" t="b">
        <v>0</v>
      </c>
      <c r="B33" s="45" t="str">
        <f>IFERROR(__xludf.DUMMYFUNCTION("""COMPUTED_VALUE"""),"Sweet shrimp")</f>
        <v>Sweet shrimp</v>
      </c>
      <c r="C33" s="48">
        <f>IFERROR(__xludf.DUMMYFUNCTION("""COMPUTED_VALUE"""),1400.0)</f>
        <v>1400</v>
      </c>
      <c r="D33" s="45" t="str">
        <f>IFERROR(__xludf.DUMMYFUNCTION("""COMPUTED_VALUE"""),"4 p.m. - 9 a.m.")</f>
        <v>4 p.m. - 9 a.m.</v>
      </c>
      <c r="E33" s="45" t="b">
        <f>IFERROR(__xludf.DUMMYFUNCTION("""COMPUTED_VALUE"""),TRUE)</f>
        <v>1</v>
      </c>
      <c r="F33" s="45" t="b">
        <f>IFERROR(__xludf.DUMMYFUNCTION("""COMPUTED_VALUE"""),TRUE)</f>
        <v>1</v>
      </c>
      <c r="G33" s="45" t="b">
        <f>IFERROR(__xludf.DUMMYFUNCTION("""COMPUTED_VALUE"""),FALSE)</f>
        <v>0</v>
      </c>
      <c r="H33" s="45" t="b">
        <f>IFERROR(__xludf.DUMMYFUNCTION("""COMPUTED_VALUE"""),FALSE)</f>
        <v>0</v>
      </c>
      <c r="I33" s="45" t="b">
        <f>IFERROR(__xludf.DUMMYFUNCTION("""COMPUTED_VALUE"""),FALSE)</f>
        <v>0</v>
      </c>
      <c r="J33" s="45" t="b">
        <f>IFERROR(__xludf.DUMMYFUNCTION("""COMPUTED_VALUE"""),FALSE)</f>
        <v>0</v>
      </c>
      <c r="K33" s="45" t="b">
        <f>IFERROR(__xludf.DUMMYFUNCTION("""COMPUTED_VALUE"""),FALSE)</f>
        <v>0</v>
      </c>
      <c r="L33" s="45" t="b">
        <f>IFERROR(__xludf.DUMMYFUNCTION("""COMPUTED_VALUE"""),FALSE)</f>
        <v>0</v>
      </c>
      <c r="M33" s="45" t="b">
        <f>IFERROR(__xludf.DUMMYFUNCTION("""COMPUTED_VALUE"""),TRUE)</f>
        <v>1</v>
      </c>
      <c r="N33" s="45" t="b">
        <f>IFERROR(__xludf.DUMMYFUNCTION("""COMPUTED_VALUE"""),TRUE)</f>
        <v>1</v>
      </c>
      <c r="O33" s="45" t="b">
        <f>IFERROR(__xludf.DUMMYFUNCTION("""COMPUTED_VALUE"""),TRUE)</f>
        <v>1</v>
      </c>
      <c r="P33" s="45" t="b">
        <f>IFERROR(__xludf.DUMMYFUNCTION("""COMPUTED_VALUE"""),TRUE)</f>
        <v>1</v>
      </c>
      <c r="Q33" s="45"/>
      <c r="R33" s="45" t="b">
        <f>IFERROR(__xludf.DUMMYFUNCTION("""COMPUTED_VALUE"""),FALSE)</f>
        <v>0</v>
      </c>
      <c r="S33" s="45" t="b">
        <f>IFERROR(__xludf.DUMMYFUNCTION("""COMPUTED_VALUE"""),FALSE)</f>
        <v>0</v>
      </c>
      <c r="T33" s="45" t="b">
        <f>IFERROR(__xludf.DUMMYFUNCTION("""COMPUTED_VALUE"""),TRUE)</f>
        <v>1</v>
      </c>
      <c r="U33" s="45" t="b">
        <f>IFERROR(__xludf.DUMMYFUNCTION("""COMPUTED_VALUE"""),TRUE)</f>
        <v>1</v>
      </c>
      <c r="V33" s="45" t="b">
        <f>IFERROR(__xludf.DUMMYFUNCTION("""COMPUTED_VALUE"""),TRUE)</f>
        <v>1</v>
      </c>
      <c r="W33" s="45" t="b">
        <f>IFERROR(__xludf.DUMMYFUNCTION("""COMPUTED_VALUE"""),TRUE)</f>
        <v>1</v>
      </c>
      <c r="X33" s="45" t="b">
        <f>IFERROR(__xludf.DUMMYFUNCTION("""COMPUTED_VALUE"""),TRUE)</f>
        <v>1</v>
      </c>
      <c r="Y33" s="45" t="b">
        <f>IFERROR(__xludf.DUMMYFUNCTION("""COMPUTED_VALUE"""),TRUE)</f>
        <v>1</v>
      </c>
      <c r="Z33" s="45" t="b">
        <f>IFERROR(__xludf.DUMMYFUNCTION("""COMPUTED_VALUE"""),FALSE)</f>
        <v>0</v>
      </c>
      <c r="AA33" s="45" t="b">
        <f>IFERROR(__xludf.DUMMYFUNCTION("""COMPUTED_VALUE"""),FALSE)</f>
        <v>0</v>
      </c>
      <c r="AB33" s="45" t="b">
        <f>IFERROR(__xludf.DUMMYFUNCTION("""COMPUTED_VALUE"""),FALSE)</f>
        <v>0</v>
      </c>
      <c r="AC33" s="45" t="b">
        <f>IFERROR(__xludf.DUMMYFUNCTION("""COMPUTED_VALUE"""),FALSE)</f>
        <v>0</v>
      </c>
    </row>
    <row r="34">
      <c r="A34" s="25" t="b">
        <v>0</v>
      </c>
      <c r="B34" s="45" t="str">
        <f>IFERROR(__xludf.DUMMYFUNCTION("""COMPUTED_VALUE"""),"Mantis shrimp")</f>
        <v>Mantis shrimp</v>
      </c>
      <c r="C34" s="48">
        <f>IFERROR(__xludf.DUMMYFUNCTION("""COMPUTED_VALUE"""),2500.0)</f>
        <v>2500</v>
      </c>
      <c r="D34" s="45" t="str">
        <f>IFERROR(__xludf.DUMMYFUNCTION("""COMPUTED_VALUE"""),"4 p.m. - 9 a.m.")</f>
        <v>4 p.m. - 9 a.m.</v>
      </c>
      <c r="E34" s="45" t="b">
        <f>IFERROR(__xludf.DUMMYFUNCTION("""COMPUTED_VALUE"""),TRUE)</f>
        <v>1</v>
      </c>
      <c r="F34" s="45" t="b">
        <f>IFERROR(__xludf.DUMMYFUNCTION("""COMPUTED_VALUE"""),TRUE)</f>
        <v>1</v>
      </c>
      <c r="G34" s="45" t="b">
        <f>IFERROR(__xludf.DUMMYFUNCTION("""COMPUTED_VALUE"""),TRUE)</f>
        <v>1</v>
      </c>
      <c r="H34" s="45" t="b">
        <f>IFERROR(__xludf.DUMMYFUNCTION("""COMPUTED_VALUE"""),TRUE)</f>
        <v>1</v>
      </c>
      <c r="I34" s="45" t="b">
        <f>IFERROR(__xludf.DUMMYFUNCTION("""COMPUTED_VALUE"""),TRUE)</f>
        <v>1</v>
      </c>
      <c r="J34" s="45" t="b">
        <f>IFERROR(__xludf.DUMMYFUNCTION("""COMPUTED_VALUE"""),TRUE)</f>
        <v>1</v>
      </c>
      <c r="K34" s="45" t="b">
        <f>IFERROR(__xludf.DUMMYFUNCTION("""COMPUTED_VALUE"""),TRUE)</f>
        <v>1</v>
      </c>
      <c r="L34" s="45" t="b">
        <f>IFERROR(__xludf.DUMMYFUNCTION("""COMPUTED_VALUE"""),TRUE)</f>
        <v>1</v>
      </c>
      <c r="M34" s="45" t="b">
        <f>IFERROR(__xludf.DUMMYFUNCTION("""COMPUTED_VALUE"""),TRUE)</f>
        <v>1</v>
      </c>
      <c r="N34" s="45" t="b">
        <f>IFERROR(__xludf.DUMMYFUNCTION("""COMPUTED_VALUE"""),TRUE)</f>
        <v>1</v>
      </c>
      <c r="O34" s="45" t="b">
        <f>IFERROR(__xludf.DUMMYFUNCTION("""COMPUTED_VALUE"""),TRUE)</f>
        <v>1</v>
      </c>
      <c r="P34" s="45" t="b">
        <f>IFERROR(__xludf.DUMMYFUNCTION("""COMPUTED_VALUE"""),TRUE)</f>
        <v>1</v>
      </c>
      <c r="Q34" s="45"/>
      <c r="R34" s="45" t="b">
        <f>IFERROR(__xludf.DUMMYFUNCTION("""COMPUTED_VALUE"""),TRUE)</f>
        <v>1</v>
      </c>
      <c r="S34" s="45" t="b">
        <f>IFERROR(__xludf.DUMMYFUNCTION("""COMPUTED_VALUE"""),TRUE)</f>
        <v>1</v>
      </c>
      <c r="T34" s="45" t="b">
        <f>IFERROR(__xludf.DUMMYFUNCTION("""COMPUTED_VALUE"""),TRUE)</f>
        <v>1</v>
      </c>
      <c r="U34" s="45" t="b">
        <f>IFERROR(__xludf.DUMMYFUNCTION("""COMPUTED_VALUE"""),TRUE)</f>
        <v>1</v>
      </c>
      <c r="V34" s="45" t="b">
        <f>IFERROR(__xludf.DUMMYFUNCTION("""COMPUTED_VALUE"""),TRUE)</f>
        <v>1</v>
      </c>
      <c r="W34" s="45" t="b">
        <f>IFERROR(__xludf.DUMMYFUNCTION("""COMPUTED_VALUE"""),TRUE)</f>
        <v>1</v>
      </c>
      <c r="X34" s="45" t="b">
        <f>IFERROR(__xludf.DUMMYFUNCTION("""COMPUTED_VALUE"""),TRUE)</f>
        <v>1</v>
      </c>
      <c r="Y34" s="45" t="b">
        <f>IFERROR(__xludf.DUMMYFUNCTION("""COMPUTED_VALUE"""),TRUE)</f>
        <v>1</v>
      </c>
      <c r="Z34" s="45" t="b">
        <f>IFERROR(__xludf.DUMMYFUNCTION("""COMPUTED_VALUE"""),TRUE)</f>
        <v>1</v>
      </c>
      <c r="AA34" s="45" t="b">
        <f>IFERROR(__xludf.DUMMYFUNCTION("""COMPUTED_VALUE"""),TRUE)</f>
        <v>1</v>
      </c>
      <c r="AB34" s="45" t="b">
        <f>IFERROR(__xludf.DUMMYFUNCTION("""COMPUTED_VALUE"""),TRUE)</f>
        <v>1</v>
      </c>
      <c r="AC34" s="45" t="b">
        <f>IFERROR(__xludf.DUMMYFUNCTION("""COMPUTED_VALUE"""),TRUE)</f>
        <v>1</v>
      </c>
    </row>
    <row r="35">
      <c r="A35" s="25" t="b">
        <v>0</v>
      </c>
      <c r="B35" s="45" t="str">
        <f>IFERROR(__xludf.DUMMYFUNCTION("""COMPUTED_VALUE"""),"Spiny Lobster")</f>
        <v>Spiny Lobster</v>
      </c>
      <c r="C35" s="48">
        <f>IFERROR(__xludf.DUMMYFUNCTION("""COMPUTED_VALUE"""),5000.0)</f>
        <v>5000</v>
      </c>
      <c r="D35" s="45" t="str">
        <f>IFERROR(__xludf.DUMMYFUNCTION("""COMPUTED_VALUE"""),"9 p.m. - 4 a.m.")</f>
        <v>9 p.m. - 4 a.m.</v>
      </c>
      <c r="E35" s="45" t="b">
        <f>IFERROR(__xludf.DUMMYFUNCTION("""COMPUTED_VALUE"""),FALSE)</f>
        <v>0</v>
      </c>
      <c r="F35" s="45" t="b">
        <f>IFERROR(__xludf.DUMMYFUNCTION("""COMPUTED_VALUE"""),FALSE)</f>
        <v>0</v>
      </c>
      <c r="G35" s="45" t="b">
        <f>IFERROR(__xludf.DUMMYFUNCTION("""COMPUTED_VALUE"""),FALSE)</f>
        <v>0</v>
      </c>
      <c r="H35" s="45" t="b">
        <f>IFERROR(__xludf.DUMMYFUNCTION("""COMPUTED_VALUE"""),FALSE)</f>
        <v>0</v>
      </c>
      <c r="I35" s="45" t="b">
        <f>IFERROR(__xludf.DUMMYFUNCTION("""COMPUTED_VALUE"""),FALSE)</f>
        <v>0</v>
      </c>
      <c r="J35" s="45" t="b">
        <f>IFERROR(__xludf.DUMMYFUNCTION("""COMPUTED_VALUE"""),FALSE)</f>
        <v>0</v>
      </c>
      <c r="K35" s="45" t="b">
        <f>IFERROR(__xludf.DUMMYFUNCTION("""COMPUTED_VALUE"""),FALSE)</f>
        <v>0</v>
      </c>
      <c r="L35" s="45" t="b">
        <f>IFERROR(__xludf.DUMMYFUNCTION("""COMPUTED_VALUE"""),FALSE)</f>
        <v>0</v>
      </c>
      <c r="M35" s="45" t="b">
        <f>IFERROR(__xludf.DUMMYFUNCTION("""COMPUTED_VALUE"""),FALSE)</f>
        <v>0</v>
      </c>
      <c r="N35" s="45" t="b">
        <f>IFERROR(__xludf.DUMMYFUNCTION("""COMPUTED_VALUE"""),TRUE)</f>
        <v>1</v>
      </c>
      <c r="O35" s="45" t="b">
        <f>IFERROR(__xludf.DUMMYFUNCTION("""COMPUTED_VALUE"""),TRUE)</f>
        <v>1</v>
      </c>
      <c r="P35" s="45" t="b">
        <f>IFERROR(__xludf.DUMMYFUNCTION("""COMPUTED_VALUE"""),TRUE)</f>
        <v>1</v>
      </c>
      <c r="Q35" s="45"/>
      <c r="R35" s="45" t="b">
        <f>IFERROR(__xludf.DUMMYFUNCTION("""COMPUTED_VALUE"""),FALSE)</f>
        <v>0</v>
      </c>
      <c r="S35" s="45" t="b">
        <f>IFERROR(__xludf.DUMMYFUNCTION("""COMPUTED_VALUE"""),FALSE)</f>
        <v>0</v>
      </c>
      <c r="T35" s="45" t="b">
        <f>IFERROR(__xludf.DUMMYFUNCTION("""COMPUTED_VALUE"""),FALSE)</f>
        <v>0</v>
      </c>
      <c r="U35" s="45" t="b">
        <f>IFERROR(__xludf.DUMMYFUNCTION("""COMPUTED_VALUE"""),TRUE)</f>
        <v>1</v>
      </c>
      <c r="V35" s="45" t="b">
        <f>IFERROR(__xludf.DUMMYFUNCTION("""COMPUTED_VALUE"""),TRUE)</f>
        <v>1</v>
      </c>
      <c r="W35" s="45" t="b">
        <f>IFERROR(__xludf.DUMMYFUNCTION("""COMPUTED_VALUE"""),TRUE)</f>
        <v>1</v>
      </c>
      <c r="X35" s="45" t="b">
        <f>IFERROR(__xludf.DUMMYFUNCTION("""COMPUTED_VALUE"""),FALSE)</f>
        <v>0</v>
      </c>
      <c r="Y35" s="45" t="b">
        <f>IFERROR(__xludf.DUMMYFUNCTION("""COMPUTED_VALUE"""),FALSE)</f>
        <v>0</v>
      </c>
      <c r="Z35" s="45" t="b">
        <f>IFERROR(__xludf.DUMMYFUNCTION("""COMPUTED_VALUE"""),FALSE)</f>
        <v>0</v>
      </c>
      <c r="AA35" s="45" t="b">
        <f>IFERROR(__xludf.DUMMYFUNCTION("""COMPUTED_VALUE"""),FALSE)</f>
        <v>0</v>
      </c>
      <c r="AB35" s="45" t="b">
        <f>IFERROR(__xludf.DUMMYFUNCTION("""COMPUTED_VALUE"""),FALSE)</f>
        <v>0</v>
      </c>
      <c r="AC35" s="45" t="b">
        <f>IFERROR(__xludf.DUMMYFUNCTION("""COMPUTED_VALUE"""),FALSE)</f>
        <v>0</v>
      </c>
    </row>
    <row r="36">
      <c r="A36" s="25" t="b">
        <v>0</v>
      </c>
      <c r="B36" s="45" t="str">
        <f>IFERROR(__xludf.DUMMYFUNCTION("""COMPUTED_VALUE"""),"Lobster")</f>
        <v>Lobster</v>
      </c>
      <c r="C36" s="48">
        <f>IFERROR(__xludf.DUMMYFUNCTION("""COMPUTED_VALUE"""),4500.0)</f>
        <v>4500</v>
      </c>
      <c r="D36" s="45" t="str">
        <f>IFERROR(__xludf.DUMMYFUNCTION("""COMPUTED_VALUE"""),"All day")</f>
        <v>All day</v>
      </c>
      <c r="E36" s="45" t="b">
        <f>IFERROR(__xludf.DUMMYFUNCTION("""COMPUTED_VALUE"""),TRUE)</f>
        <v>1</v>
      </c>
      <c r="F36" s="45" t="b">
        <f>IFERROR(__xludf.DUMMYFUNCTION("""COMPUTED_VALUE"""),FALSE)</f>
        <v>0</v>
      </c>
      <c r="G36" s="45" t="b">
        <f>IFERROR(__xludf.DUMMYFUNCTION("""COMPUTED_VALUE"""),FALSE)</f>
        <v>0</v>
      </c>
      <c r="H36" s="45" t="b">
        <f>IFERROR(__xludf.DUMMYFUNCTION("""COMPUTED_VALUE"""),TRUE)</f>
        <v>1</v>
      </c>
      <c r="I36" s="45" t="b">
        <f>IFERROR(__xludf.DUMMYFUNCTION("""COMPUTED_VALUE"""),TRUE)</f>
        <v>1</v>
      </c>
      <c r="J36" s="45" t="b">
        <f>IFERROR(__xludf.DUMMYFUNCTION("""COMPUTED_VALUE"""),TRUE)</f>
        <v>1</v>
      </c>
      <c r="K36" s="45" t="b">
        <f>IFERROR(__xludf.DUMMYFUNCTION("""COMPUTED_VALUE"""),FALSE)</f>
        <v>0</v>
      </c>
      <c r="L36" s="45" t="b">
        <f>IFERROR(__xludf.DUMMYFUNCTION("""COMPUTED_VALUE"""),FALSE)</f>
        <v>0</v>
      </c>
      <c r="M36" s="45" t="b">
        <f>IFERROR(__xludf.DUMMYFUNCTION("""COMPUTED_VALUE"""),FALSE)</f>
        <v>0</v>
      </c>
      <c r="N36" s="45" t="b">
        <f>IFERROR(__xludf.DUMMYFUNCTION("""COMPUTED_VALUE"""),FALSE)</f>
        <v>0</v>
      </c>
      <c r="O36" s="45" t="b">
        <f>IFERROR(__xludf.DUMMYFUNCTION("""COMPUTED_VALUE"""),FALSE)</f>
        <v>0</v>
      </c>
      <c r="P36" s="45" t="b">
        <f>IFERROR(__xludf.DUMMYFUNCTION("""COMPUTED_VALUE"""),TRUE)</f>
        <v>1</v>
      </c>
      <c r="Q36" s="45"/>
      <c r="R36" s="45" t="b">
        <f>IFERROR(__xludf.DUMMYFUNCTION("""COMPUTED_VALUE"""),FALSE)</f>
        <v>0</v>
      </c>
      <c r="S36" s="45" t="b">
        <f>IFERROR(__xludf.DUMMYFUNCTION("""COMPUTED_VALUE"""),FALSE)</f>
        <v>0</v>
      </c>
      <c r="T36" s="45" t="b">
        <f>IFERROR(__xludf.DUMMYFUNCTION("""COMPUTED_VALUE"""),FALSE)</f>
        <v>0</v>
      </c>
      <c r="U36" s="45" t="b">
        <f>IFERROR(__xludf.DUMMYFUNCTION("""COMPUTED_VALUE"""),FALSE)</f>
        <v>0</v>
      </c>
      <c r="V36" s="45" t="b">
        <f>IFERROR(__xludf.DUMMYFUNCTION("""COMPUTED_VALUE"""),FALSE)</f>
        <v>0</v>
      </c>
      <c r="W36" s="45" t="b">
        <f>IFERROR(__xludf.DUMMYFUNCTION("""COMPUTED_VALUE"""),TRUE)</f>
        <v>1</v>
      </c>
      <c r="X36" s="45" t="b">
        <f>IFERROR(__xludf.DUMMYFUNCTION("""COMPUTED_VALUE"""),TRUE)</f>
        <v>1</v>
      </c>
      <c r="Y36" s="45" t="b">
        <f>IFERROR(__xludf.DUMMYFUNCTION("""COMPUTED_VALUE"""),FALSE)</f>
        <v>0</v>
      </c>
      <c r="Z36" s="45" t="b">
        <f>IFERROR(__xludf.DUMMYFUNCTION("""COMPUTED_VALUE"""),FALSE)</f>
        <v>0</v>
      </c>
      <c r="AA36" s="45" t="b">
        <f>IFERROR(__xludf.DUMMYFUNCTION("""COMPUTED_VALUE"""),TRUE)</f>
        <v>1</v>
      </c>
      <c r="AB36" s="45" t="b">
        <f>IFERROR(__xludf.DUMMYFUNCTION("""COMPUTED_VALUE"""),TRUE)</f>
        <v>1</v>
      </c>
      <c r="AC36" s="45" t="b">
        <f>IFERROR(__xludf.DUMMYFUNCTION("""COMPUTED_VALUE"""),TRUE)</f>
        <v>1</v>
      </c>
    </row>
    <row r="37">
      <c r="A37" s="25" t="b">
        <v>0</v>
      </c>
      <c r="B37" s="45" t="str">
        <f>IFERROR(__xludf.DUMMYFUNCTION("""COMPUTED_VALUE"""),"Giant isopod")</f>
        <v>Giant isopod</v>
      </c>
      <c r="C37" s="48">
        <f>IFERROR(__xludf.DUMMYFUNCTION("""COMPUTED_VALUE"""),12000.0)</f>
        <v>12000</v>
      </c>
      <c r="D37" s="45" t="str">
        <f>IFERROR(__xludf.DUMMYFUNCTION("""COMPUTED_VALUE"""),"9 a.m. - 4 p.m., 9 p.m. - 4 a.m.")</f>
        <v>9 a.m. - 4 p.m., 9 p.m. - 4 a.m.</v>
      </c>
      <c r="E37" s="45" t="b">
        <f>IFERROR(__xludf.DUMMYFUNCTION("""COMPUTED_VALUE"""),FALSE)</f>
        <v>0</v>
      </c>
      <c r="F37" s="45" t="b">
        <f>IFERROR(__xludf.DUMMYFUNCTION("""COMPUTED_VALUE"""),FALSE)</f>
        <v>0</v>
      </c>
      <c r="G37" s="45" t="b">
        <f>IFERROR(__xludf.DUMMYFUNCTION("""COMPUTED_VALUE"""),FALSE)</f>
        <v>0</v>
      </c>
      <c r="H37" s="45" t="b">
        <f>IFERROR(__xludf.DUMMYFUNCTION("""COMPUTED_VALUE"""),FALSE)</f>
        <v>0</v>
      </c>
      <c r="I37" s="45" t="b">
        <f>IFERROR(__xludf.DUMMYFUNCTION("""COMPUTED_VALUE"""),FALSE)</f>
        <v>0</v>
      </c>
      <c r="J37" s="45" t="b">
        <f>IFERROR(__xludf.DUMMYFUNCTION("""COMPUTED_VALUE"""),FALSE)</f>
        <v>0</v>
      </c>
      <c r="K37" s="45" t="b">
        <f>IFERROR(__xludf.DUMMYFUNCTION("""COMPUTED_VALUE"""),TRUE)</f>
        <v>1</v>
      </c>
      <c r="L37" s="45" t="b">
        <f>IFERROR(__xludf.DUMMYFUNCTION("""COMPUTED_VALUE"""),TRUE)</f>
        <v>1</v>
      </c>
      <c r="M37" s="45" t="b">
        <f>IFERROR(__xludf.DUMMYFUNCTION("""COMPUTED_VALUE"""),TRUE)</f>
        <v>1</v>
      </c>
      <c r="N37" s="45" t="b">
        <f>IFERROR(__xludf.DUMMYFUNCTION("""COMPUTED_VALUE"""),TRUE)</f>
        <v>1</v>
      </c>
      <c r="O37" s="45" t="b">
        <f>IFERROR(__xludf.DUMMYFUNCTION("""COMPUTED_VALUE"""),FALSE)</f>
        <v>0</v>
      </c>
      <c r="P37" s="45" t="b">
        <f>IFERROR(__xludf.DUMMYFUNCTION("""COMPUTED_VALUE"""),FALSE)</f>
        <v>0</v>
      </c>
      <c r="Q37" s="45"/>
      <c r="R37" s="45" t="b">
        <f>IFERROR(__xludf.DUMMYFUNCTION("""COMPUTED_VALUE"""),TRUE)</f>
        <v>1</v>
      </c>
      <c r="S37" s="45" t="b">
        <f>IFERROR(__xludf.DUMMYFUNCTION("""COMPUTED_VALUE"""),TRUE)</f>
        <v>1</v>
      </c>
      <c r="T37" s="45" t="b">
        <f>IFERROR(__xludf.DUMMYFUNCTION("""COMPUTED_VALUE"""),TRUE)</f>
        <v>1</v>
      </c>
      <c r="U37" s="45" t="b">
        <f>IFERROR(__xludf.DUMMYFUNCTION("""COMPUTED_VALUE"""),TRUE)</f>
        <v>1</v>
      </c>
      <c r="V37" s="45" t="b">
        <f>IFERROR(__xludf.DUMMYFUNCTION("""COMPUTED_VALUE"""),FALSE)</f>
        <v>0</v>
      </c>
      <c r="W37" s="45" t="b">
        <f>IFERROR(__xludf.DUMMYFUNCTION("""COMPUTED_VALUE"""),FALSE)</f>
        <v>0</v>
      </c>
      <c r="X37" s="45" t="b">
        <f>IFERROR(__xludf.DUMMYFUNCTION("""COMPUTED_VALUE"""),FALSE)</f>
        <v>0</v>
      </c>
      <c r="Y37" s="45" t="b">
        <f>IFERROR(__xludf.DUMMYFUNCTION("""COMPUTED_VALUE"""),FALSE)</f>
        <v>0</v>
      </c>
      <c r="Z37" s="45" t="b">
        <f>IFERROR(__xludf.DUMMYFUNCTION("""COMPUTED_VALUE"""),FALSE)</f>
        <v>0</v>
      </c>
      <c r="AA37" s="45" t="b">
        <f>IFERROR(__xludf.DUMMYFUNCTION("""COMPUTED_VALUE"""),FALSE)</f>
        <v>0</v>
      </c>
      <c r="AB37" s="45" t="b">
        <f>IFERROR(__xludf.DUMMYFUNCTION("""COMPUTED_VALUE"""),FALSE)</f>
        <v>0</v>
      </c>
      <c r="AC37" s="45" t="b">
        <f>IFERROR(__xludf.DUMMYFUNCTION("""COMPUTED_VALUE"""),FALSE)</f>
        <v>0</v>
      </c>
    </row>
    <row r="38">
      <c r="A38" s="25" t="b">
        <v>0</v>
      </c>
      <c r="B38" s="45" t="str">
        <f>IFERROR(__xludf.DUMMYFUNCTION("""COMPUTED_VALUE"""),"Horseshoe crab")</f>
        <v>Horseshoe crab</v>
      </c>
      <c r="C38" s="48">
        <f>IFERROR(__xludf.DUMMYFUNCTION("""COMPUTED_VALUE"""),2500.0)</f>
        <v>2500</v>
      </c>
      <c r="D38" s="45" t="str">
        <f>IFERROR(__xludf.DUMMYFUNCTION("""COMPUTED_VALUE"""),"9 p.m. - 4 a.m.")</f>
        <v>9 p.m. - 4 a.m.</v>
      </c>
      <c r="E38" s="45" t="b">
        <f>IFERROR(__xludf.DUMMYFUNCTION("""COMPUTED_VALUE"""),FALSE)</f>
        <v>0</v>
      </c>
      <c r="F38" s="45" t="b">
        <f>IFERROR(__xludf.DUMMYFUNCTION("""COMPUTED_VALUE"""),FALSE)</f>
        <v>0</v>
      </c>
      <c r="G38" s="45" t="b">
        <f>IFERROR(__xludf.DUMMYFUNCTION("""COMPUTED_VALUE"""),FALSE)</f>
        <v>0</v>
      </c>
      <c r="H38" s="45" t="b">
        <f>IFERROR(__xludf.DUMMYFUNCTION("""COMPUTED_VALUE"""),FALSE)</f>
        <v>0</v>
      </c>
      <c r="I38" s="45" t="b">
        <f>IFERROR(__xludf.DUMMYFUNCTION("""COMPUTED_VALUE"""),FALSE)</f>
        <v>0</v>
      </c>
      <c r="J38" s="45" t="b">
        <f>IFERROR(__xludf.DUMMYFUNCTION("""COMPUTED_VALUE"""),FALSE)</f>
        <v>0</v>
      </c>
      <c r="K38" s="45" t="b">
        <f>IFERROR(__xludf.DUMMYFUNCTION("""COMPUTED_VALUE"""),TRUE)</f>
        <v>1</v>
      </c>
      <c r="L38" s="45" t="b">
        <f>IFERROR(__xludf.DUMMYFUNCTION("""COMPUTED_VALUE"""),TRUE)</f>
        <v>1</v>
      </c>
      <c r="M38" s="45" t="b">
        <f>IFERROR(__xludf.DUMMYFUNCTION("""COMPUTED_VALUE"""),TRUE)</f>
        <v>1</v>
      </c>
      <c r="N38" s="45" t="b">
        <f>IFERROR(__xludf.DUMMYFUNCTION("""COMPUTED_VALUE"""),FALSE)</f>
        <v>0</v>
      </c>
      <c r="O38" s="45" t="b">
        <f>IFERROR(__xludf.DUMMYFUNCTION("""COMPUTED_VALUE"""),FALSE)</f>
        <v>0</v>
      </c>
      <c r="P38" s="45" t="b">
        <f>IFERROR(__xludf.DUMMYFUNCTION("""COMPUTED_VALUE"""),FALSE)</f>
        <v>0</v>
      </c>
      <c r="Q38" s="45"/>
      <c r="R38" s="45" t="b">
        <f>IFERROR(__xludf.DUMMYFUNCTION("""COMPUTED_VALUE"""),TRUE)</f>
        <v>1</v>
      </c>
      <c r="S38" s="45" t="b">
        <f>IFERROR(__xludf.DUMMYFUNCTION("""COMPUTED_VALUE"""),TRUE)</f>
        <v>1</v>
      </c>
      <c r="T38" s="45" t="b">
        <f>IFERROR(__xludf.DUMMYFUNCTION("""COMPUTED_VALUE"""),TRUE)</f>
        <v>1</v>
      </c>
      <c r="U38" s="45" t="b">
        <f>IFERROR(__xludf.DUMMYFUNCTION("""COMPUTED_VALUE"""),FALSE)</f>
        <v>0</v>
      </c>
      <c r="V38" s="45" t="b">
        <f>IFERROR(__xludf.DUMMYFUNCTION("""COMPUTED_VALUE"""),FALSE)</f>
        <v>0</v>
      </c>
      <c r="W38" s="45" t="b">
        <f>IFERROR(__xludf.DUMMYFUNCTION("""COMPUTED_VALUE"""),FALSE)</f>
        <v>0</v>
      </c>
      <c r="X38" s="45" t="b">
        <f>IFERROR(__xludf.DUMMYFUNCTION("""COMPUTED_VALUE"""),FALSE)</f>
        <v>0</v>
      </c>
      <c r="Y38" s="45" t="b">
        <f>IFERROR(__xludf.DUMMYFUNCTION("""COMPUTED_VALUE"""),FALSE)</f>
        <v>0</v>
      </c>
      <c r="Z38" s="45" t="b">
        <f>IFERROR(__xludf.DUMMYFUNCTION("""COMPUTED_VALUE"""),FALSE)</f>
        <v>0</v>
      </c>
      <c r="AA38" s="45" t="b">
        <f>IFERROR(__xludf.DUMMYFUNCTION("""COMPUTED_VALUE"""),FALSE)</f>
        <v>0</v>
      </c>
      <c r="AB38" s="45" t="b">
        <f>IFERROR(__xludf.DUMMYFUNCTION("""COMPUTED_VALUE"""),FALSE)</f>
        <v>0</v>
      </c>
      <c r="AC38" s="45" t="b">
        <f>IFERROR(__xludf.DUMMYFUNCTION("""COMPUTED_VALUE"""),FALSE)</f>
        <v>0</v>
      </c>
    </row>
    <row r="39">
      <c r="A39" s="25" t="b">
        <v>0</v>
      </c>
      <c r="B39" s="45" t="str">
        <f>IFERROR(__xludf.DUMMYFUNCTION("""COMPUTED_VALUE"""),"Sea pineapple")</f>
        <v>Sea pineapple</v>
      </c>
      <c r="C39" s="48">
        <f>IFERROR(__xludf.DUMMYFUNCTION("""COMPUTED_VALUE"""),1500.0)</f>
        <v>1500</v>
      </c>
      <c r="D39" s="45" t="str">
        <f>IFERROR(__xludf.DUMMYFUNCTION("""COMPUTED_VALUE"""),"All day")</f>
        <v>All day</v>
      </c>
      <c r="E39" s="45" t="b">
        <f>IFERROR(__xludf.DUMMYFUNCTION("""COMPUTED_VALUE"""),FALSE)</f>
        <v>0</v>
      </c>
      <c r="F39" s="45" t="b">
        <f>IFERROR(__xludf.DUMMYFUNCTION("""COMPUTED_VALUE"""),FALSE)</f>
        <v>0</v>
      </c>
      <c r="G39" s="45" t="b">
        <f>IFERROR(__xludf.DUMMYFUNCTION("""COMPUTED_VALUE"""),FALSE)</f>
        <v>0</v>
      </c>
      <c r="H39" s="45" t="b">
        <f>IFERROR(__xludf.DUMMYFUNCTION("""COMPUTED_VALUE"""),TRUE)</f>
        <v>1</v>
      </c>
      <c r="I39" s="45" t="b">
        <f>IFERROR(__xludf.DUMMYFUNCTION("""COMPUTED_VALUE"""),TRUE)</f>
        <v>1</v>
      </c>
      <c r="J39" s="45" t="b">
        <f>IFERROR(__xludf.DUMMYFUNCTION("""COMPUTED_VALUE"""),TRUE)</f>
        <v>1</v>
      </c>
      <c r="K39" s="45" t="b">
        <f>IFERROR(__xludf.DUMMYFUNCTION("""COMPUTED_VALUE"""),TRUE)</f>
        <v>1</v>
      </c>
      <c r="L39" s="45" t="b">
        <f>IFERROR(__xludf.DUMMYFUNCTION("""COMPUTED_VALUE"""),TRUE)</f>
        <v>1</v>
      </c>
      <c r="M39" s="45" t="b">
        <f>IFERROR(__xludf.DUMMYFUNCTION("""COMPUTED_VALUE"""),FALSE)</f>
        <v>0</v>
      </c>
      <c r="N39" s="45" t="b">
        <f>IFERROR(__xludf.DUMMYFUNCTION("""COMPUTED_VALUE"""),FALSE)</f>
        <v>0</v>
      </c>
      <c r="O39" s="45" t="b">
        <f>IFERROR(__xludf.DUMMYFUNCTION("""COMPUTED_VALUE"""),FALSE)</f>
        <v>0</v>
      </c>
      <c r="P39" s="45" t="b">
        <f>IFERROR(__xludf.DUMMYFUNCTION("""COMPUTED_VALUE"""),FALSE)</f>
        <v>0</v>
      </c>
      <c r="Q39" s="45"/>
      <c r="R39" s="45" t="b">
        <f>IFERROR(__xludf.DUMMYFUNCTION("""COMPUTED_VALUE"""),TRUE)</f>
        <v>1</v>
      </c>
      <c r="S39" s="45" t="b">
        <f>IFERROR(__xludf.DUMMYFUNCTION("""COMPUTED_VALUE"""),TRUE)</f>
        <v>1</v>
      </c>
      <c r="T39" s="45" t="b">
        <f>IFERROR(__xludf.DUMMYFUNCTION("""COMPUTED_VALUE"""),FALSE)</f>
        <v>0</v>
      </c>
      <c r="U39" s="45" t="b">
        <f>IFERROR(__xludf.DUMMYFUNCTION("""COMPUTED_VALUE"""),FALSE)</f>
        <v>0</v>
      </c>
      <c r="V39" s="45" t="b">
        <f>IFERROR(__xludf.DUMMYFUNCTION("""COMPUTED_VALUE"""),FALSE)</f>
        <v>0</v>
      </c>
      <c r="W39" s="45" t="b">
        <f>IFERROR(__xludf.DUMMYFUNCTION("""COMPUTED_VALUE"""),FALSE)</f>
        <v>0</v>
      </c>
      <c r="X39" s="45" t="b">
        <f>IFERROR(__xludf.DUMMYFUNCTION("""COMPUTED_VALUE"""),FALSE)</f>
        <v>0</v>
      </c>
      <c r="Y39" s="45" t="b">
        <f>IFERROR(__xludf.DUMMYFUNCTION("""COMPUTED_VALUE"""),FALSE)</f>
        <v>0</v>
      </c>
      <c r="Z39" s="45" t="b">
        <f>IFERROR(__xludf.DUMMYFUNCTION("""COMPUTED_VALUE"""),FALSE)</f>
        <v>0</v>
      </c>
      <c r="AA39" s="45" t="b">
        <f>IFERROR(__xludf.DUMMYFUNCTION("""COMPUTED_VALUE"""),TRUE)</f>
        <v>1</v>
      </c>
      <c r="AB39" s="45" t="b">
        <f>IFERROR(__xludf.DUMMYFUNCTION("""COMPUTED_VALUE"""),TRUE)</f>
        <v>1</v>
      </c>
      <c r="AC39" s="45" t="b">
        <f>IFERROR(__xludf.DUMMYFUNCTION("""COMPUTED_VALUE"""),TRUE)</f>
        <v>1</v>
      </c>
    </row>
    <row r="40">
      <c r="A40" s="25" t="b">
        <v>0</v>
      </c>
      <c r="B40" s="45" t="str">
        <f>IFERROR(__xludf.DUMMYFUNCTION("""COMPUTED_VALUE"""),"Spotted garden eel")</f>
        <v>Spotted garden eel</v>
      </c>
      <c r="C40" s="48">
        <f>IFERROR(__xludf.DUMMYFUNCTION("""COMPUTED_VALUE"""),1100.0)</f>
        <v>1100</v>
      </c>
      <c r="D40" s="45" t="str">
        <f>IFERROR(__xludf.DUMMYFUNCTION("""COMPUTED_VALUE"""),"4 a.m. - 9 p.m.")</f>
        <v>4 a.m. - 9 p.m.</v>
      </c>
      <c r="E40" s="45" t="b">
        <f>IFERROR(__xludf.DUMMYFUNCTION("""COMPUTED_VALUE"""),FALSE)</f>
        <v>0</v>
      </c>
      <c r="F40" s="45" t="b">
        <f>IFERROR(__xludf.DUMMYFUNCTION("""COMPUTED_VALUE"""),FALSE)</f>
        <v>0</v>
      </c>
      <c r="G40" s="45" t="b">
        <f>IFERROR(__xludf.DUMMYFUNCTION("""COMPUTED_VALUE"""),FALSE)</f>
        <v>0</v>
      </c>
      <c r="H40" s="45" t="b">
        <f>IFERROR(__xludf.DUMMYFUNCTION("""COMPUTED_VALUE"""),FALSE)</f>
        <v>0</v>
      </c>
      <c r="I40" s="45" t="b">
        <f>IFERROR(__xludf.DUMMYFUNCTION("""COMPUTED_VALUE"""),TRUE)</f>
        <v>1</v>
      </c>
      <c r="J40" s="45" t="b">
        <f>IFERROR(__xludf.DUMMYFUNCTION("""COMPUTED_VALUE"""),TRUE)</f>
        <v>1</v>
      </c>
      <c r="K40" s="45" t="b">
        <f>IFERROR(__xludf.DUMMYFUNCTION("""COMPUTED_VALUE"""),TRUE)</f>
        <v>1</v>
      </c>
      <c r="L40" s="45" t="b">
        <f>IFERROR(__xludf.DUMMYFUNCTION("""COMPUTED_VALUE"""),TRUE)</f>
        <v>1</v>
      </c>
      <c r="M40" s="45" t="b">
        <f>IFERROR(__xludf.DUMMYFUNCTION("""COMPUTED_VALUE"""),TRUE)</f>
        <v>1</v>
      </c>
      <c r="N40" s="45" t="b">
        <f>IFERROR(__xludf.DUMMYFUNCTION("""COMPUTED_VALUE"""),TRUE)</f>
        <v>1</v>
      </c>
      <c r="O40" s="45" t="b">
        <f>IFERROR(__xludf.DUMMYFUNCTION("""COMPUTED_VALUE"""),FALSE)</f>
        <v>0</v>
      </c>
      <c r="P40" s="45" t="b">
        <f>IFERROR(__xludf.DUMMYFUNCTION("""COMPUTED_VALUE"""),FALSE)</f>
        <v>0</v>
      </c>
      <c r="Q40" s="45"/>
      <c r="R40" s="45" t="b">
        <f>IFERROR(__xludf.DUMMYFUNCTION("""COMPUTED_VALUE"""),TRUE)</f>
        <v>1</v>
      </c>
      <c r="S40" s="45" t="b">
        <f>IFERROR(__xludf.DUMMYFUNCTION("""COMPUTED_VALUE"""),TRUE)</f>
        <v>1</v>
      </c>
      <c r="T40" s="45" t="b">
        <f>IFERROR(__xludf.DUMMYFUNCTION("""COMPUTED_VALUE"""),TRUE)</f>
        <v>1</v>
      </c>
      <c r="U40" s="45" t="b">
        <f>IFERROR(__xludf.DUMMYFUNCTION("""COMPUTED_VALUE"""),TRUE)</f>
        <v>1</v>
      </c>
      <c r="V40" s="45" t="b">
        <f>IFERROR(__xludf.DUMMYFUNCTION("""COMPUTED_VALUE"""),FALSE)</f>
        <v>0</v>
      </c>
      <c r="W40" s="45" t="b">
        <f>IFERROR(__xludf.DUMMYFUNCTION("""COMPUTED_VALUE"""),FALSE)</f>
        <v>0</v>
      </c>
      <c r="X40" s="45" t="b">
        <f>IFERROR(__xludf.DUMMYFUNCTION("""COMPUTED_VALUE"""),FALSE)</f>
        <v>0</v>
      </c>
      <c r="Y40" s="45" t="b">
        <f>IFERROR(__xludf.DUMMYFUNCTION("""COMPUTED_VALUE"""),FALSE)</f>
        <v>0</v>
      </c>
      <c r="Z40" s="45" t="b">
        <f>IFERROR(__xludf.DUMMYFUNCTION("""COMPUTED_VALUE"""),FALSE)</f>
        <v>0</v>
      </c>
      <c r="AA40" s="45" t="b">
        <f>IFERROR(__xludf.DUMMYFUNCTION("""COMPUTED_VALUE"""),FALSE)</f>
        <v>0</v>
      </c>
      <c r="AB40" s="45" t="b">
        <f>IFERROR(__xludf.DUMMYFUNCTION("""COMPUTED_VALUE"""),TRUE)</f>
        <v>1</v>
      </c>
      <c r="AC40" s="45" t="b">
        <f>IFERROR(__xludf.DUMMYFUNCTION("""COMPUTED_VALUE"""),TRUE)</f>
        <v>1</v>
      </c>
    </row>
    <row r="41">
      <c r="A41" s="25" t="b">
        <v>0</v>
      </c>
      <c r="B41" s="45" t="str">
        <f>IFERROR(__xludf.DUMMYFUNCTION("""COMPUTED_VALUE"""),"Flatworm")</f>
        <v>Flatworm</v>
      </c>
      <c r="C41" s="45">
        <f>IFERROR(__xludf.DUMMYFUNCTION("""COMPUTED_VALUE"""),700.0)</f>
        <v>700</v>
      </c>
      <c r="D41" s="45" t="str">
        <f>IFERROR(__xludf.DUMMYFUNCTION("""COMPUTED_VALUE"""),"4 p.m. - 9 a.m.")</f>
        <v>4 p.m. - 9 a.m.</v>
      </c>
      <c r="E41" s="45" t="b">
        <f>IFERROR(__xludf.DUMMYFUNCTION("""COMPUTED_VALUE"""),FALSE)</f>
        <v>0</v>
      </c>
      <c r="F41" s="45" t="b">
        <f>IFERROR(__xludf.DUMMYFUNCTION("""COMPUTED_VALUE"""),FALSE)</f>
        <v>0</v>
      </c>
      <c r="G41" s="45" t="b">
        <f>IFERROR(__xludf.DUMMYFUNCTION("""COMPUTED_VALUE"""),FALSE)</f>
        <v>0</v>
      </c>
      <c r="H41" s="45" t="b">
        <f>IFERROR(__xludf.DUMMYFUNCTION("""COMPUTED_VALUE"""),FALSE)</f>
        <v>0</v>
      </c>
      <c r="I41" s="45" t="b">
        <f>IFERROR(__xludf.DUMMYFUNCTION("""COMPUTED_VALUE"""),FALSE)</f>
        <v>0</v>
      </c>
      <c r="J41" s="45" t="b">
        <f>IFERROR(__xludf.DUMMYFUNCTION("""COMPUTED_VALUE"""),FALSE)</f>
        <v>0</v>
      </c>
      <c r="K41" s="45" t="b">
        <f>IFERROR(__xludf.DUMMYFUNCTION("""COMPUTED_VALUE"""),FALSE)</f>
        <v>0</v>
      </c>
      <c r="L41" s="45" t="b">
        <f>IFERROR(__xludf.DUMMYFUNCTION("""COMPUTED_VALUE"""),TRUE)</f>
        <v>1</v>
      </c>
      <c r="M41" s="45" t="b">
        <f>IFERROR(__xludf.DUMMYFUNCTION("""COMPUTED_VALUE"""),TRUE)</f>
        <v>1</v>
      </c>
      <c r="N41" s="45" t="b">
        <f>IFERROR(__xludf.DUMMYFUNCTION("""COMPUTED_VALUE"""),FALSE)</f>
        <v>0</v>
      </c>
      <c r="O41" s="45" t="b">
        <f>IFERROR(__xludf.DUMMYFUNCTION("""COMPUTED_VALUE"""),FALSE)</f>
        <v>0</v>
      </c>
      <c r="P41" s="45" t="b">
        <f>IFERROR(__xludf.DUMMYFUNCTION("""COMPUTED_VALUE"""),FALSE)</f>
        <v>0</v>
      </c>
      <c r="Q41" s="45"/>
      <c r="R41" s="45" t="b">
        <f>IFERROR(__xludf.DUMMYFUNCTION("""COMPUTED_VALUE"""),FALSE)</f>
        <v>0</v>
      </c>
      <c r="S41" s="45" t="b">
        <f>IFERROR(__xludf.DUMMYFUNCTION("""COMPUTED_VALUE"""),TRUE)</f>
        <v>1</v>
      </c>
      <c r="T41" s="45" t="b">
        <f>IFERROR(__xludf.DUMMYFUNCTION("""COMPUTED_VALUE"""),TRUE)</f>
        <v>1</v>
      </c>
      <c r="U41" s="45" t="b">
        <f>IFERROR(__xludf.DUMMYFUNCTION("""COMPUTED_VALUE"""),FALSE)</f>
        <v>0</v>
      </c>
      <c r="V41" s="45" t="b">
        <f>IFERROR(__xludf.DUMMYFUNCTION("""COMPUTED_VALUE"""),FALSE)</f>
        <v>0</v>
      </c>
      <c r="W41" s="45" t="b">
        <f>IFERROR(__xludf.DUMMYFUNCTION("""COMPUTED_VALUE"""),FALSE)</f>
        <v>0</v>
      </c>
      <c r="X41" s="45" t="b">
        <f>IFERROR(__xludf.DUMMYFUNCTION("""COMPUTED_VALUE"""),FALSE)</f>
        <v>0</v>
      </c>
      <c r="Y41" s="45" t="b">
        <f>IFERROR(__xludf.DUMMYFUNCTION("""COMPUTED_VALUE"""),FALSE)</f>
        <v>0</v>
      </c>
      <c r="Z41" s="45" t="b">
        <f>IFERROR(__xludf.DUMMYFUNCTION("""COMPUTED_VALUE"""),FALSE)</f>
        <v>0</v>
      </c>
      <c r="AA41" s="45" t="b">
        <f>IFERROR(__xludf.DUMMYFUNCTION("""COMPUTED_VALUE"""),FALSE)</f>
        <v>0</v>
      </c>
      <c r="AB41" s="45" t="b">
        <f>IFERROR(__xludf.DUMMYFUNCTION("""COMPUTED_VALUE"""),FALSE)</f>
        <v>0</v>
      </c>
      <c r="AC41" s="45" t="b">
        <f>IFERROR(__xludf.DUMMYFUNCTION("""COMPUTED_VALUE"""),FALSE)</f>
        <v>0</v>
      </c>
    </row>
    <row r="42">
      <c r="A42" s="25" t="b">
        <v>0</v>
      </c>
      <c r="B42" s="45" t="str">
        <f>IFERROR(__xludf.DUMMYFUNCTION("""COMPUTED_VALUE"""),"Venus' flower basket")</f>
        <v>Venus' flower basket</v>
      </c>
      <c r="C42" s="48">
        <f>IFERROR(__xludf.DUMMYFUNCTION("""COMPUTED_VALUE"""),5000.0)</f>
        <v>5000</v>
      </c>
      <c r="D42" s="45" t="str">
        <f>IFERROR(__xludf.DUMMYFUNCTION("""COMPUTED_VALUE"""),"All day")</f>
        <v>All day</v>
      </c>
      <c r="E42" s="45" t="b">
        <f>IFERROR(__xludf.DUMMYFUNCTION("""COMPUTED_VALUE"""),TRUE)</f>
        <v>1</v>
      </c>
      <c r="F42" s="45" t="b">
        <f>IFERROR(__xludf.DUMMYFUNCTION("""COMPUTED_VALUE"""),TRUE)</f>
        <v>1</v>
      </c>
      <c r="G42" s="45" t="b">
        <f>IFERROR(__xludf.DUMMYFUNCTION("""COMPUTED_VALUE"""),FALSE)</f>
        <v>0</v>
      </c>
      <c r="H42" s="45" t="b">
        <f>IFERROR(__xludf.DUMMYFUNCTION("""COMPUTED_VALUE"""),FALSE)</f>
        <v>0</v>
      </c>
      <c r="I42" s="45" t="b">
        <f>IFERROR(__xludf.DUMMYFUNCTION("""COMPUTED_VALUE"""),FALSE)</f>
        <v>0</v>
      </c>
      <c r="J42" s="45" t="b">
        <f>IFERROR(__xludf.DUMMYFUNCTION("""COMPUTED_VALUE"""),FALSE)</f>
        <v>0</v>
      </c>
      <c r="K42" s="45" t="b">
        <f>IFERROR(__xludf.DUMMYFUNCTION("""COMPUTED_VALUE"""),FALSE)</f>
        <v>0</v>
      </c>
      <c r="L42" s="45" t="b">
        <f>IFERROR(__xludf.DUMMYFUNCTION("""COMPUTED_VALUE"""),FALSE)</f>
        <v>0</v>
      </c>
      <c r="M42" s="45" t="b">
        <f>IFERROR(__xludf.DUMMYFUNCTION("""COMPUTED_VALUE"""),FALSE)</f>
        <v>0</v>
      </c>
      <c r="N42" s="45" t="b">
        <f>IFERROR(__xludf.DUMMYFUNCTION("""COMPUTED_VALUE"""),TRUE)</f>
        <v>1</v>
      </c>
      <c r="O42" s="45" t="b">
        <f>IFERROR(__xludf.DUMMYFUNCTION("""COMPUTED_VALUE"""),TRUE)</f>
        <v>1</v>
      </c>
      <c r="P42" s="45" t="b">
        <f>IFERROR(__xludf.DUMMYFUNCTION("""COMPUTED_VALUE"""),TRUE)</f>
        <v>1</v>
      </c>
      <c r="Q42" s="45"/>
      <c r="R42" s="45" t="b">
        <f>IFERROR(__xludf.DUMMYFUNCTION("""COMPUTED_VALUE"""),FALSE)</f>
        <v>0</v>
      </c>
      <c r="S42" s="45" t="b">
        <f>IFERROR(__xludf.DUMMYFUNCTION("""COMPUTED_VALUE"""),FALSE)</f>
        <v>0</v>
      </c>
      <c r="T42" s="45" t="b">
        <f>IFERROR(__xludf.DUMMYFUNCTION("""COMPUTED_VALUE"""),FALSE)</f>
        <v>0</v>
      </c>
      <c r="U42" s="45" t="b">
        <f>IFERROR(__xludf.DUMMYFUNCTION("""COMPUTED_VALUE"""),TRUE)</f>
        <v>1</v>
      </c>
      <c r="V42" s="45" t="b">
        <f>IFERROR(__xludf.DUMMYFUNCTION("""COMPUTED_VALUE"""),TRUE)</f>
        <v>1</v>
      </c>
      <c r="W42" s="45" t="b">
        <f>IFERROR(__xludf.DUMMYFUNCTION("""COMPUTED_VALUE"""),TRUE)</f>
        <v>1</v>
      </c>
      <c r="X42" s="45" t="b">
        <f>IFERROR(__xludf.DUMMYFUNCTION("""COMPUTED_VALUE"""),TRUE)</f>
        <v>1</v>
      </c>
      <c r="Y42" s="45" t="b">
        <f>IFERROR(__xludf.DUMMYFUNCTION("""COMPUTED_VALUE"""),TRUE)</f>
        <v>1</v>
      </c>
      <c r="Z42" s="45" t="b">
        <f>IFERROR(__xludf.DUMMYFUNCTION("""COMPUTED_VALUE"""),FALSE)</f>
        <v>0</v>
      </c>
      <c r="AA42" s="45" t="b">
        <f>IFERROR(__xludf.DUMMYFUNCTION("""COMPUTED_VALUE"""),FALSE)</f>
        <v>0</v>
      </c>
      <c r="AB42" s="45" t="b">
        <f>IFERROR(__xludf.DUMMYFUNCTION("""COMPUTED_VALUE"""),FALSE)</f>
        <v>0</v>
      </c>
      <c r="AC42" s="45" t="b">
        <f>IFERROR(__xludf.DUMMYFUNCTION("""COMPUTED_VALUE"""),FALSE)</f>
        <v>0</v>
      </c>
    </row>
  </sheetData>
  <drawing r:id="rId4"/>
  <legacyDrawing r:id="rId5"/>
</worksheet>
</file>